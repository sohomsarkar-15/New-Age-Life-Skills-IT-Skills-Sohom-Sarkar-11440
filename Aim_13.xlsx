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24E12D54DA7676/Documents/"/>
    </mc:Choice>
  </mc:AlternateContent>
  <xr:revisionPtr revIDLastSave="7" documentId="8_{B80A1013-4C29-4A4A-904D-422A86DA4086}" xr6:coauthVersionLast="47" xr6:coauthVersionMax="47" xr10:uidLastSave="{71CAA6B4-FE98-4AA5-9B87-D013E3A827DB}"/>
  <bookViews>
    <workbookView xWindow="-108" yWindow="-108" windowWidth="23256" windowHeight="13896" activeTab="1" xr2:uid="{839874E7-EDBB-4ABB-ABBB-D7C445D42442}"/>
  </bookViews>
  <sheets>
    <sheet name="STUDENT_DATA " sheetId="1" r:id="rId1"/>
    <sheet name="MARKS_ANALYSIS" sheetId="2" r:id="rId2"/>
    <sheet name="CHART" sheetId="3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D2" i="2"/>
  <c r="G16" i="2"/>
  <c r="H16" i="2" s="1"/>
  <c r="F16" i="2"/>
  <c r="E16" i="2"/>
  <c r="D16" i="2"/>
  <c r="G15" i="2"/>
  <c r="H15" i="2" s="1"/>
  <c r="F15" i="2"/>
  <c r="E15" i="2"/>
  <c r="D15" i="2"/>
  <c r="G14" i="2"/>
  <c r="H14" i="2" s="1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G14" i="1"/>
  <c r="G15" i="1"/>
  <c r="G16" i="1"/>
  <c r="I3" i="1"/>
  <c r="I4" i="1"/>
  <c r="H3" i="1"/>
  <c r="H4" i="1"/>
  <c r="G3" i="1"/>
  <c r="G4" i="1"/>
  <c r="I2" i="1"/>
  <c r="I5" i="1"/>
  <c r="I6" i="1"/>
  <c r="I7" i="1"/>
  <c r="I8" i="1"/>
  <c r="I9" i="1"/>
  <c r="I10" i="1"/>
  <c r="I11" i="1"/>
  <c r="I12" i="1"/>
  <c r="I13" i="1"/>
  <c r="J14" i="1"/>
  <c r="K14" i="1" s="1"/>
  <c r="J15" i="1"/>
  <c r="K15" i="1" s="1"/>
  <c r="J16" i="1"/>
  <c r="K16" i="1" s="1"/>
  <c r="H5" i="1"/>
  <c r="H6" i="1"/>
  <c r="H7" i="1"/>
  <c r="H8" i="1"/>
  <c r="H9" i="1"/>
  <c r="H10" i="1"/>
  <c r="H11" i="1"/>
  <c r="H12" i="1"/>
  <c r="H13" i="1"/>
  <c r="I14" i="1"/>
  <c r="I15" i="1"/>
  <c r="I16" i="1"/>
  <c r="H2" i="1"/>
  <c r="G10" i="1"/>
  <c r="G11" i="1"/>
  <c r="G12" i="1"/>
  <c r="G13" i="1"/>
  <c r="H14" i="1"/>
  <c r="H15" i="1"/>
  <c r="H16" i="1"/>
  <c r="G5" i="1"/>
  <c r="G6" i="1"/>
  <c r="G7" i="1"/>
  <c r="G8" i="1"/>
  <c r="G9" i="1"/>
  <c r="G2" i="1"/>
  <c r="I14" i="2" l="1"/>
  <c r="G9" i="2"/>
  <c r="H9" i="2" s="1"/>
  <c r="I15" i="2"/>
  <c r="G3" i="2"/>
  <c r="H3" i="2" s="1"/>
  <c r="I16" i="2"/>
  <c r="G8" i="2"/>
  <c r="H8" i="2" s="1"/>
  <c r="G13" i="2"/>
  <c r="H13" i="2" s="1"/>
  <c r="G2" i="2"/>
  <c r="G11" i="2"/>
  <c r="H11" i="2" s="1"/>
  <c r="G10" i="2"/>
  <c r="H10" i="2" s="1"/>
  <c r="G5" i="2"/>
  <c r="G6" i="2"/>
  <c r="H6" i="2" s="1"/>
  <c r="G7" i="2"/>
  <c r="H7" i="2" s="1"/>
  <c r="G4" i="2"/>
  <c r="I4" i="2" s="1"/>
  <c r="G12" i="2"/>
  <c r="H12" i="2" s="1"/>
  <c r="J3" i="1"/>
  <c r="K3" i="1" s="1"/>
  <c r="J4" i="1"/>
  <c r="K4" i="1" s="1"/>
  <c r="J9" i="1"/>
  <c r="K9" i="1" s="1"/>
  <c r="J5" i="1"/>
  <c r="K5" i="1" s="1"/>
  <c r="J8" i="1"/>
  <c r="K8" i="1" s="1"/>
  <c r="J7" i="1"/>
  <c r="K7" i="1" s="1"/>
  <c r="J6" i="1"/>
  <c r="K6" i="1" s="1"/>
  <c r="J12" i="1"/>
  <c r="K12" i="1" s="1"/>
  <c r="J11" i="1"/>
  <c r="K11" i="1" s="1"/>
  <c r="J10" i="1"/>
  <c r="K10" i="1" s="1"/>
  <c r="J13" i="1"/>
  <c r="K13" i="1" s="1"/>
  <c r="J2" i="1"/>
  <c r="K2" i="1" s="1"/>
  <c r="I9" i="2" l="1"/>
  <c r="I3" i="2"/>
  <c r="I12" i="2"/>
  <c r="I6" i="2"/>
  <c r="I13" i="2"/>
  <c r="I11" i="2"/>
  <c r="I10" i="2"/>
  <c r="H5" i="2"/>
  <c r="I5" i="2"/>
  <c r="I7" i="2"/>
  <c r="I8" i="2"/>
  <c r="H2" i="2"/>
  <c r="J7" i="2"/>
  <c r="H4" i="2"/>
  <c r="J4" i="2"/>
  <c r="N7" i="2" l="1"/>
  <c r="N6" i="2"/>
  <c r="I2" i="2"/>
</calcChain>
</file>

<file path=xl/sharedStrings.xml><?xml version="1.0" encoding="utf-8"?>
<sst xmlns="http://schemas.openxmlformats.org/spreadsheetml/2006/main" count="137" uniqueCount="68">
  <si>
    <t xml:space="preserve">FULL NAME </t>
  </si>
  <si>
    <t xml:space="preserve">FIRST NAME </t>
  </si>
  <si>
    <t xml:space="preserve">LAST NAME </t>
  </si>
  <si>
    <t xml:space="preserve">ROLL NO </t>
  </si>
  <si>
    <t xml:space="preserve">NALS MARKS </t>
  </si>
  <si>
    <t xml:space="preserve">PFC MARKS </t>
  </si>
  <si>
    <t xml:space="preserve">WEB TECH MARKS </t>
  </si>
  <si>
    <t xml:space="preserve">SHIVAM SETHI </t>
  </si>
  <si>
    <t xml:space="preserve">JYOTI SETHI </t>
  </si>
  <si>
    <t xml:space="preserve">GAURAV SETHI </t>
  </si>
  <si>
    <t xml:space="preserve">JIGYAHA SAHU </t>
  </si>
  <si>
    <t xml:space="preserve">JAYA SAHU </t>
  </si>
  <si>
    <t xml:space="preserve">RAVI BHAGAT </t>
  </si>
  <si>
    <t xml:space="preserve">TUSHAR SAHU </t>
  </si>
  <si>
    <t>SHIVAM KUMAR</t>
  </si>
  <si>
    <t xml:space="preserve">SHIVAM RAJ </t>
  </si>
  <si>
    <t xml:space="preserve">SHIVAM RAJ GUPTA </t>
  </si>
  <si>
    <t xml:space="preserve">SHRESHT SHARMA </t>
  </si>
  <si>
    <t xml:space="preserve">SHRIYA SHRYIA </t>
  </si>
  <si>
    <t xml:space="preserve">SHREEYA REWATKAR </t>
  </si>
  <si>
    <t xml:space="preserve">SHIVAM DUBEY </t>
  </si>
  <si>
    <t xml:space="preserve">SHIVAM </t>
  </si>
  <si>
    <t>JYOTI</t>
  </si>
  <si>
    <t>GAURAV</t>
  </si>
  <si>
    <t>JIGYAHA</t>
  </si>
  <si>
    <t>JAYA</t>
  </si>
  <si>
    <t>RAVI</t>
  </si>
  <si>
    <t>TUSHAR</t>
  </si>
  <si>
    <t>SHIVAM</t>
  </si>
  <si>
    <t>SHRESHT</t>
  </si>
  <si>
    <t>SHRIYA</t>
  </si>
  <si>
    <t>SHREEYA</t>
  </si>
  <si>
    <t xml:space="preserve">SETHI </t>
  </si>
  <si>
    <t>SETHI</t>
  </si>
  <si>
    <t>SAHU</t>
  </si>
  <si>
    <t>BHAGAT</t>
  </si>
  <si>
    <t>KUMAR</t>
  </si>
  <si>
    <t>RAJ</t>
  </si>
  <si>
    <t>GUPTA</t>
  </si>
  <si>
    <t>SHARMA</t>
  </si>
  <si>
    <t>SHRYIA</t>
  </si>
  <si>
    <t>REWATKAR</t>
  </si>
  <si>
    <t xml:space="preserve">JYOTI SAHU </t>
  </si>
  <si>
    <t xml:space="preserve">TOTAL MARKS </t>
  </si>
  <si>
    <t xml:space="preserve">CITY </t>
  </si>
  <si>
    <t xml:space="preserve">DELHI </t>
  </si>
  <si>
    <t xml:space="preserve">MUMBAI </t>
  </si>
  <si>
    <t xml:space="preserve">PATNA </t>
  </si>
  <si>
    <t xml:space="preserve">RAIPUR </t>
  </si>
  <si>
    <t>RAIGARH</t>
  </si>
  <si>
    <t>PUNE</t>
  </si>
  <si>
    <t xml:space="preserve">INDOR </t>
  </si>
  <si>
    <t>DELHI</t>
  </si>
  <si>
    <t>DUBEY</t>
  </si>
  <si>
    <t>PASS/FAIL</t>
  </si>
  <si>
    <t xml:space="preserve">SECTION </t>
  </si>
  <si>
    <t>K</t>
  </si>
  <si>
    <t xml:space="preserve">MAX MARKS </t>
  </si>
  <si>
    <t xml:space="preserve">MIN MARKS </t>
  </si>
  <si>
    <t xml:space="preserve">DELHI STUDENT </t>
  </si>
  <si>
    <t xml:space="preserve">AVERAGE </t>
  </si>
  <si>
    <t>PASS</t>
  </si>
  <si>
    <t>FAIL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</si>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</sst>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" formatCode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MARKS_ANALYSIS!$D$2:$D$16</c:f>
              <c:numCache>
                <c:formatCode>General</c:formatCode>
                <c:ptCount val="15"/>
                <c:pt idx="0">
                  <c:v>40</c:v>
                </c:pt>
                <c:pt idx="1">
                  <c:v>51</c:v>
                </c:pt>
                <c:pt idx="2">
                  <c:v>66</c:v>
                </c:pt>
                <c:pt idx="3">
                  <c:v>45</c:v>
                </c:pt>
                <c:pt idx="4">
                  <c:v>71</c:v>
                </c:pt>
                <c:pt idx="5">
                  <c:v>38</c:v>
                </c:pt>
                <c:pt idx="6">
                  <c:v>67</c:v>
                </c:pt>
                <c:pt idx="7">
                  <c:v>30</c:v>
                </c:pt>
                <c:pt idx="8">
                  <c:v>39</c:v>
                </c:pt>
                <c:pt idx="9">
                  <c:v>57</c:v>
                </c:pt>
                <c:pt idx="10">
                  <c:v>61</c:v>
                </c:pt>
                <c:pt idx="11">
                  <c:v>42</c:v>
                </c:pt>
                <c:pt idx="12">
                  <c:v>72</c:v>
                </c:pt>
                <c:pt idx="13">
                  <c:v>59</c:v>
                </c:pt>
                <c:pt idx="1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2-43B3-BAAD-7C6892E5D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0348079"/>
        <c:axId val="620348559"/>
        <c:axId val="0"/>
      </c:bar3DChart>
      <c:catAx>
        <c:axId val="620348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48559"/>
        <c:crosses val="autoZero"/>
        <c:auto val="1"/>
        <c:lblAlgn val="ctr"/>
        <c:lblOffset val="100"/>
        <c:noMultiLvlLbl val="0"/>
      </c:catAx>
      <c:valAx>
        <c:axId val="6203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4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B3-432E-8A16-A54C8A51BA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B3-432E-8A16-A54C8A51BA4A}"/>
              </c:ext>
            </c:extLst>
          </c:dPt>
          <c:cat>
            <c:strRef>
              <c:f>MARKS_ANALYSIS!$M$6:$M$7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MARKS_ANALYSIS!$N$6:$N$7</c:f>
              <c:numCache>
                <c:formatCode>General</c:formatCode>
                <c:ptCount val="2"/>
                <c:pt idx="0">
                  <c:v>11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B3-432E-8A16-A54C8A51B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6D7F6-E288-4FB9-8BC9-569D86968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0</xdr:row>
      <xdr:rowOff>0</xdr:rowOff>
    </xdr:from>
    <xdr:to>
      <xdr:col>14</xdr:col>
      <xdr:colOff>601980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50C2B-8F1A-447E-91B0-A518C0488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D14C45-84FE-43C9-84B3-1D98DEE3BD8D}" name="Table2" displayName="Table2" ref="A1:M16" totalsRowShown="0" headerRowDxfId="2">
  <autoFilter ref="A1:M16" xr:uid="{3CD14C45-84FE-43C9-84B3-1D98DEE3BD8D}"/>
  <tableColumns count="13">
    <tableColumn id="1" xr3:uid="{0AC27E7C-0981-49E5-9E56-D40DC771DBDF}" name="FULL NAME "/>
    <tableColumn id="2" xr3:uid="{12BC57C2-A1AE-4AE4-818E-AEB164EE37B1}" name="FIRST NAME "/>
    <tableColumn id="3" xr3:uid="{85B84805-6185-4E6B-9CF9-09C5B96E493A}" name="LAST NAME "/>
    <tableColumn id="4" xr3:uid="{5FC822F4-B41B-42A6-8A6A-72BD90D66823}" name="ROLL NO "/>
    <tableColumn id="5" xr3:uid="{454312F3-3865-4F80-B93D-CEDA3B9E09DC}" name="SECTION "/>
    <tableColumn id="6" xr3:uid="{AA4ECDD9-2311-4CDB-BDB1-9B93A98921DB}" name="CITY "/>
    <tableColumn id="7" xr3:uid="{DA5C076B-D461-44DD-92C2-CE840A74B20C}" name="NALS MARKS ">
      <calculatedColumnFormula>RANDBETWEEN(30,80)</calculatedColumnFormula>
    </tableColumn>
    <tableColumn id="8" xr3:uid="{340BB8D0-FFC3-4F6C-9045-130E1BDD05CB}" name="PFC MARKS "/>
    <tableColumn id="9" xr3:uid="{7D33A110-E532-4338-BB07-8557853907A6}" name="WEB TECH MARKS "/>
    <tableColumn id="10" xr3:uid="{4637E313-7268-40B2-9698-0D12F4B8C772}" name="TOTAL MARKS "/>
    <tableColumn id="11" xr3:uid="{900C754D-BB00-4B30-9E63-7858A4EBD4CC}" name="PASS/FAIL">
      <calculatedColumnFormula>IF(J2&gt;=120,"PASS","FAIL")</calculatedColumnFormula>
    </tableColumn>
    <tableColumn id="12" xr3:uid="{06446233-B042-427E-82C8-A82F3A4A2717}" name="Column1"/>
    <tableColumn id="13" xr3:uid="{38FB98C0-E7AC-492E-A115-7B5141233575}" name="Column2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D3DB9-1C91-4144-9DA3-46686FD55D20}" name="Table1" displayName="Table1" ref="A1:N16" totalsRowShown="0">
  <autoFilter ref="A1:N16" xr:uid="{AD2D3DB9-1C91-4144-9DA3-46686FD55D20}"/>
  <tableColumns count="14">
    <tableColumn id="1" xr3:uid="{A38A4DED-2A45-40E4-A4A1-56CF45C5D8D4}" name="ROLL NO "/>
    <tableColumn id="2" xr3:uid="{B70F8FBD-88EA-46C3-A1B7-D4872FEB7DCA}" name="SECTION "/>
    <tableColumn id="3" xr3:uid="{BC4146BA-C70C-4E44-BA97-DFDD45DDE171}" name="CITY "/>
    <tableColumn id="4" xr3:uid="{6C27F863-464C-4A13-A93B-DF8E3733A74B}" name="NALS MARKS ">
      <calculatedColumnFormula>RANDBETWEEN(30,80)</calculatedColumnFormula>
    </tableColumn>
    <tableColumn id="5" xr3:uid="{40BA0BEC-0166-47E6-8579-F50AC36E12A6}" name="PFC MARKS "/>
    <tableColumn id="6" xr3:uid="{405D0D42-0357-40CE-9A89-14184A8DBDE1}" name="WEB TECH MARKS "/>
    <tableColumn id="7" xr3:uid="{189B57EB-3582-4084-B526-3D99F69B0438}" name="TOTAL MARKS "/>
    <tableColumn id="8" xr3:uid="{80647774-9B4D-4645-BDFC-70EC92814C5C}" name="PASS/FAIL">
      <calculatedColumnFormula>IF(G2&gt;=120,"PASS","FAIL")</calculatedColumnFormula>
    </tableColumn>
    <tableColumn id="9" xr3:uid="{B9E2BCD5-4BE6-4740-A9D3-34F02FB88952}" name="AVERAGE " dataDxfId="1">
      <calculatedColumnFormula>AVERAGE(D2:G2)</calculatedColumnFormula>
    </tableColumn>
    <tableColumn id="10" xr3:uid="{0EB29051-C360-45B0-BBDE-DAC4F4ADA7F5}" name="Column1"/>
    <tableColumn id="11" xr3:uid="{E9660B24-7E7E-4C21-9BFA-8A4024BA7125}" name="Column2"/>
    <tableColumn id="12" xr3:uid="{7EDD564D-6FF9-4760-9483-BEBB80A119A6}" name="Column3"/>
    <tableColumn id="13" xr3:uid="{806F6ABB-7223-4430-802F-3996E39D31DE}" name="Column4"/>
    <tableColumn id="14" xr3:uid="{F1F0C3A0-827B-4091-9956-9739B8A01C42}" name="Column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B8BB-F36D-407A-BC6E-8AADF0E6D031}">
  <dimension ref="A1:M16"/>
  <sheetViews>
    <sheetView zoomScale="42" workbookViewId="0">
      <selection activeCell="M14" sqref="M14"/>
    </sheetView>
  </sheetViews>
  <sheetFormatPr defaultRowHeight="14.4" x14ac:dyDescent="0.3"/>
  <cols>
    <col min="1" max="3" width="26" customWidth="1"/>
    <col min="4" max="16" width="26.5546875" customWidth="1"/>
  </cols>
  <sheetData>
    <row r="1" spans="1:13" ht="43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44</v>
      </c>
      <c r="G1" s="1" t="s">
        <v>4</v>
      </c>
      <c r="H1" s="1" t="s">
        <v>5</v>
      </c>
      <c r="I1" s="1" t="s">
        <v>6</v>
      </c>
      <c r="J1" s="1" t="s">
        <v>43</v>
      </c>
      <c r="K1" s="1" t="s">
        <v>54</v>
      </c>
      <c r="L1" t="s">
        <v>63</v>
      </c>
      <c r="M1" t="s">
        <v>64</v>
      </c>
    </row>
    <row r="2" spans="1:13" ht="43.8" customHeight="1" x14ac:dyDescent="0.3">
      <c r="A2" t="s">
        <v>7</v>
      </c>
      <c r="B2" t="s">
        <v>21</v>
      </c>
      <c r="C2" t="s">
        <v>32</v>
      </c>
      <c r="D2">
        <v>1</v>
      </c>
      <c r="E2" t="s">
        <v>56</v>
      </c>
      <c r="F2" t="s">
        <v>52</v>
      </c>
      <c r="G2">
        <f ca="1">RANDBETWEEN(30,80)</f>
        <v>52</v>
      </c>
      <c r="H2">
        <f ca="1">RANDBETWEEN(20,60)</f>
        <v>48</v>
      </c>
      <c r="I2">
        <f ca="1">RANDBETWEEN(50,70)</f>
        <v>70</v>
      </c>
      <c r="J2">
        <f ca="1">SUM(G2:I2)</f>
        <v>170</v>
      </c>
      <c r="K2" t="str">
        <f ca="1">IF(J2&gt;=120,"PASS","FAIL")</f>
        <v>PASS</v>
      </c>
    </row>
    <row r="3" spans="1:13" ht="43.8" customHeight="1" x14ac:dyDescent="0.3">
      <c r="A3" t="s">
        <v>8</v>
      </c>
      <c r="B3" t="s">
        <v>22</v>
      </c>
      <c r="C3" t="s">
        <v>33</v>
      </c>
      <c r="D3">
        <v>2</v>
      </c>
      <c r="E3" t="s">
        <v>56</v>
      </c>
      <c r="F3" t="s">
        <v>46</v>
      </c>
      <c r="G3">
        <f ca="1">RANDBETWEEN(30,80)</f>
        <v>46</v>
      </c>
      <c r="H3">
        <f ca="1">RANDBETWEEN(20,60)</f>
        <v>20</v>
      </c>
      <c r="I3">
        <f ca="1">RANDBETWEEN(50,70)</f>
        <v>70</v>
      </c>
      <c r="J3">
        <f ca="1">SUM(G3:I3)</f>
        <v>136</v>
      </c>
      <c r="K3" t="str">
        <f t="shared" ref="K3:K16" ca="1" si="0">IF(J3&gt;=120,"PASS","FAIL")</f>
        <v>PASS</v>
      </c>
    </row>
    <row r="4" spans="1:13" ht="43.8" customHeight="1" x14ac:dyDescent="0.3">
      <c r="A4" t="s">
        <v>9</v>
      </c>
      <c r="B4" t="s">
        <v>23</v>
      </c>
      <c r="C4" t="s">
        <v>33</v>
      </c>
      <c r="D4">
        <v>3</v>
      </c>
      <c r="E4" t="s">
        <v>56</v>
      </c>
      <c r="F4" t="s">
        <v>47</v>
      </c>
      <c r="G4">
        <f ca="1">RANDBETWEEN(30,80)</f>
        <v>66</v>
      </c>
      <c r="H4">
        <f ca="1">RANDBETWEEN(20,60)</f>
        <v>60</v>
      </c>
      <c r="I4">
        <f ca="1">RANDBETWEEN(50,70)</f>
        <v>60</v>
      </c>
      <c r="J4">
        <f ca="1">SUM(G4:I4)</f>
        <v>186</v>
      </c>
      <c r="K4" t="str">
        <f t="shared" ca="1" si="0"/>
        <v>PASS</v>
      </c>
    </row>
    <row r="5" spans="1:13" ht="43.8" customHeight="1" x14ac:dyDescent="0.3">
      <c r="A5" t="s">
        <v>10</v>
      </c>
      <c r="B5" t="s">
        <v>24</v>
      </c>
      <c r="C5" t="s">
        <v>34</v>
      </c>
      <c r="D5">
        <v>4</v>
      </c>
      <c r="E5" t="s">
        <v>56</v>
      </c>
      <c r="F5" t="s">
        <v>48</v>
      </c>
      <c r="G5">
        <f t="shared" ref="G5:H16" ca="1" si="1">RANDBETWEEN(30,80)</f>
        <v>55</v>
      </c>
      <c r="H5">
        <f t="shared" ref="H5:I16" ca="1" si="2">RANDBETWEEN(20,60)</f>
        <v>29</v>
      </c>
      <c r="I5">
        <f t="shared" ref="I5:J16" ca="1" si="3">RANDBETWEEN(50,70)</f>
        <v>70</v>
      </c>
      <c r="J5">
        <f t="shared" ref="J5:J13" ca="1" si="4">SUM(G5:I5)</f>
        <v>154</v>
      </c>
      <c r="K5" t="str">
        <f t="shared" ca="1" si="0"/>
        <v>PASS</v>
      </c>
      <c r="L5" s="3" t="s">
        <v>59</v>
      </c>
      <c r="M5" s="3"/>
    </row>
    <row r="6" spans="1:13" ht="43.8" customHeight="1" x14ac:dyDescent="0.3">
      <c r="A6" t="s">
        <v>11</v>
      </c>
      <c r="B6" t="s">
        <v>25</v>
      </c>
      <c r="C6" t="s">
        <v>34</v>
      </c>
      <c r="D6">
        <v>5</v>
      </c>
      <c r="E6" t="s">
        <v>56</v>
      </c>
      <c r="F6" t="s">
        <v>49</v>
      </c>
      <c r="G6">
        <f t="shared" ca="1" si="1"/>
        <v>78</v>
      </c>
      <c r="H6">
        <f t="shared" ca="1" si="2"/>
        <v>60</v>
      </c>
      <c r="I6">
        <f t="shared" ca="1" si="3"/>
        <v>50</v>
      </c>
      <c r="J6">
        <f t="shared" ca="1" si="4"/>
        <v>188</v>
      </c>
      <c r="K6" t="str">
        <f t="shared" ca="1" si="0"/>
        <v>PASS</v>
      </c>
      <c r="L6" s="3">
        <f>COUNTIF(F2:F16,"DELHI")</f>
        <v>4</v>
      </c>
      <c r="M6" s="3"/>
    </row>
    <row r="7" spans="1:13" ht="43.8" customHeight="1" x14ac:dyDescent="0.3">
      <c r="A7" t="s">
        <v>12</v>
      </c>
      <c r="B7" t="s">
        <v>26</v>
      </c>
      <c r="C7" t="s">
        <v>35</v>
      </c>
      <c r="D7">
        <v>6</v>
      </c>
      <c r="E7" t="s">
        <v>56</v>
      </c>
      <c r="F7" t="s">
        <v>50</v>
      </c>
      <c r="G7">
        <f t="shared" ca="1" si="1"/>
        <v>71</v>
      </c>
      <c r="H7">
        <f t="shared" ca="1" si="2"/>
        <v>51</v>
      </c>
      <c r="I7">
        <f t="shared" ca="1" si="3"/>
        <v>67</v>
      </c>
      <c r="J7">
        <f t="shared" ca="1" si="4"/>
        <v>189</v>
      </c>
      <c r="K7" t="str">
        <f t="shared" ca="1" si="0"/>
        <v>PASS</v>
      </c>
    </row>
    <row r="8" spans="1:13" ht="43.8" customHeight="1" x14ac:dyDescent="0.3">
      <c r="A8" t="s">
        <v>13</v>
      </c>
      <c r="B8" t="s">
        <v>27</v>
      </c>
      <c r="C8" t="s">
        <v>34</v>
      </c>
      <c r="D8">
        <v>7</v>
      </c>
      <c r="E8" t="s">
        <v>56</v>
      </c>
      <c r="F8" t="s">
        <v>51</v>
      </c>
      <c r="G8">
        <f t="shared" ca="1" si="1"/>
        <v>37</v>
      </c>
      <c r="H8">
        <f t="shared" ca="1" si="2"/>
        <v>53</v>
      </c>
      <c r="I8">
        <f t="shared" ca="1" si="3"/>
        <v>59</v>
      </c>
      <c r="J8">
        <f t="shared" ca="1" si="4"/>
        <v>149</v>
      </c>
      <c r="K8" t="str">
        <f t="shared" ca="1" si="0"/>
        <v>PASS</v>
      </c>
    </row>
    <row r="9" spans="1:13" ht="43.8" customHeight="1" x14ac:dyDescent="0.3">
      <c r="A9" t="s">
        <v>14</v>
      </c>
      <c r="B9" t="s">
        <v>28</v>
      </c>
      <c r="C9" t="s">
        <v>36</v>
      </c>
      <c r="D9">
        <v>8</v>
      </c>
      <c r="E9" t="s">
        <v>56</v>
      </c>
      <c r="F9" t="s">
        <v>52</v>
      </c>
      <c r="G9">
        <f t="shared" ca="1" si="1"/>
        <v>34</v>
      </c>
      <c r="H9">
        <f t="shared" ca="1" si="2"/>
        <v>43</v>
      </c>
      <c r="I9">
        <f t="shared" ca="1" si="3"/>
        <v>66</v>
      </c>
      <c r="J9">
        <f t="shared" ca="1" si="4"/>
        <v>143</v>
      </c>
      <c r="K9" t="str">
        <f t="shared" ca="1" si="0"/>
        <v>PASS</v>
      </c>
    </row>
    <row r="10" spans="1:13" ht="43.8" customHeight="1" x14ac:dyDescent="0.3">
      <c r="A10" t="s">
        <v>15</v>
      </c>
      <c r="B10" t="s">
        <v>28</v>
      </c>
      <c r="C10" t="s">
        <v>37</v>
      </c>
      <c r="D10">
        <v>9</v>
      </c>
      <c r="E10" t="s">
        <v>56</v>
      </c>
      <c r="F10" t="s">
        <v>48</v>
      </c>
      <c r="G10">
        <f t="shared" ca="1" si="1"/>
        <v>80</v>
      </c>
      <c r="H10">
        <f t="shared" ca="1" si="2"/>
        <v>52</v>
      </c>
      <c r="I10">
        <f t="shared" ca="1" si="3"/>
        <v>70</v>
      </c>
      <c r="J10">
        <f t="shared" ca="1" si="4"/>
        <v>202</v>
      </c>
      <c r="K10" t="str">
        <f t="shared" ca="1" si="0"/>
        <v>PASS</v>
      </c>
    </row>
    <row r="11" spans="1:13" ht="43.8" customHeight="1" x14ac:dyDescent="0.3">
      <c r="A11" t="s">
        <v>16</v>
      </c>
      <c r="B11" t="s">
        <v>28</v>
      </c>
      <c r="C11" t="s">
        <v>38</v>
      </c>
      <c r="D11">
        <v>10</v>
      </c>
      <c r="E11" t="s">
        <v>56</v>
      </c>
      <c r="F11" t="s">
        <v>51</v>
      </c>
      <c r="G11">
        <f t="shared" ca="1" si="1"/>
        <v>53</v>
      </c>
      <c r="H11">
        <f t="shared" ca="1" si="2"/>
        <v>35</v>
      </c>
      <c r="I11">
        <f t="shared" ca="1" si="3"/>
        <v>66</v>
      </c>
      <c r="J11">
        <f t="shared" ca="1" si="4"/>
        <v>154</v>
      </c>
      <c r="K11" t="str">
        <f t="shared" ca="1" si="0"/>
        <v>PASS</v>
      </c>
    </row>
    <row r="12" spans="1:13" ht="43.8" customHeight="1" x14ac:dyDescent="0.3">
      <c r="A12" t="s">
        <v>17</v>
      </c>
      <c r="B12" t="s">
        <v>29</v>
      </c>
      <c r="C12" t="s">
        <v>39</v>
      </c>
      <c r="D12">
        <v>11</v>
      </c>
      <c r="E12" t="s">
        <v>56</v>
      </c>
      <c r="F12" t="s">
        <v>52</v>
      </c>
      <c r="G12">
        <f t="shared" ca="1" si="1"/>
        <v>62</v>
      </c>
      <c r="H12">
        <f t="shared" ca="1" si="2"/>
        <v>25</v>
      </c>
      <c r="I12">
        <f t="shared" ca="1" si="3"/>
        <v>58</v>
      </c>
      <c r="J12">
        <f t="shared" ca="1" si="4"/>
        <v>145</v>
      </c>
      <c r="K12" t="str">
        <f t="shared" ca="1" si="0"/>
        <v>PASS</v>
      </c>
    </row>
    <row r="13" spans="1:13" ht="43.8" customHeight="1" x14ac:dyDescent="0.3">
      <c r="A13" t="s">
        <v>18</v>
      </c>
      <c r="B13" t="s">
        <v>30</v>
      </c>
      <c r="C13" t="s">
        <v>40</v>
      </c>
      <c r="D13">
        <v>12</v>
      </c>
      <c r="E13" t="s">
        <v>56</v>
      </c>
      <c r="F13" t="s">
        <v>46</v>
      </c>
      <c r="G13">
        <f t="shared" ca="1" si="1"/>
        <v>59</v>
      </c>
      <c r="H13">
        <f t="shared" ca="1" si="2"/>
        <v>20</v>
      </c>
      <c r="I13">
        <f t="shared" ca="1" si="3"/>
        <v>54</v>
      </c>
      <c r="J13">
        <f t="shared" ca="1" si="4"/>
        <v>133</v>
      </c>
      <c r="K13" t="str">
        <f t="shared" ca="1" si="0"/>
        <v>PASS</v>
      </c>
    </row>
    <row r="14" spans="1:13" ht="43.8" customHeight="1" x14ac:dyDescent="0.3">
      <c r="A14" t="s">
        <v>19</v>
      </c>
      <c r="B14" t="s">
        <v>31</v>
      </c>
      <c r="C14" t="s">
        <v>41</v>
      </c>
      <c r="D14">
        <v>13</v>
      </c>
      <c r="E14" t="s">
        <v>56</v>
      </c>
      <c r="F14" t="s">
        <v>48</v>
      </c>
      <c r="G14">
        <f t="shared" ca="1" si="1"/>
        <v>80</v>
      </c>
      <c r="H14">
        <f t="shared" ca="1" si="1"/>
        <v>38</v>
      </c>
      <c r="I14">
        <f t="shared" ca="1" si="2"/>
        <v>60</v>
      </c>
      <c r="J14">
        <f t="shared" ca="1" si="3"/>
        <v>53</v>
      </c>
      <c r="K14" t="str">
        <f t="shared" ca="1" si="0"/>
        <v>FAIL</v>
      </c>
    </row>
    <row r="15" spans="1:13" ht="43.8" customHeight="1" x14ac:dyDescent="0.3">
      <c r="A15" t="s">
        <v>20</v>
      </c>
      <c r="B15" t="s">
        <v>28</v>
      </c>
      <c r="C15" t="s">
        <v>53</v>
      </c>
      <c r="D15">
        <v>14</v>
      </c>
      <c r="E15" t="s">
        <v>56</v>
      </c>
      <c r="F15" t="s">
        <v>52</v>
      </c>
      <c r="G15">
        <f t="shared" ca="1" si="1"/>
        <v>79</v>
      </c>
      <c r="H15">
        <f t="shared" ca="1" si="1"/>
        <v>30</v>
      </c>
      <c r="I15">
        <f t="shared" ca="1" si="2"/>
        <v>29</v>
      </c>
      <c r="J15">
        <f t="shared" ca="1" si="3"/>
        <v>51</v>
      </c>
      <c r="K15" t="str">
        <f t="shared" ca="1" si="0"/>
        <v>FAIL</v>
      </c>
    </row>
    <row r="16" spans="1:13" ht="43.8" customHeight="1" x14ac:dyDescent="0.3">
      <c r="A16" t="s">
        <v>42</v>
      </c>
      <c r="B16" t="s">
        <v>22</v>
      </c>
      <c r="C16" t="s">
        <v>34</v>
      </c>
      <c r="D16">
        <v>15</v>
      </c>
      <c r="E16" t="s">
        <v>56</v>
      </c>
      <c r="F16" t="s">
        <v>45</v>
      </c>
      <c r="G16">
        <f t="shared" ca="1" si="1"/>
        <v>34</v>
      </c>
      <c r="H16">
        <f t="shared" ca="1" si="1"/>
        <v>55</v>
      </c>
      <c r="I16">
        <f t="shared" ca="1" si="2"/>
        <v>55</v>
      </c>
      <c r="J16">
        <f t="shared" ca="1" si="3"/>
        <v>59</v>
      </c>
      <c r="K16" t="str">
        <f t="shared" ca="1" si="0"/>
        <v>FAIL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C94E-52F1-4AE5-BCA3-2D10C1117E0A}">
  <dimension ref="A1:N16"/>
  <sheetViews>
    <sheetView tabSelected="1" zoomScale="70" workbookViewId="0">
      <selection activeCell="M6" sqref="M6:N7"/>
    </sheetView>
  </sheetViews>
  <sheetFormatPr defaultRowHeight="14.4" x14ac:dyDescent="0.3"/>
  <cols>
    <col min="1" max="13" width="20" customWidth="1"/>
    <col min="14" max="15" width="15.77734375" customWidth="1"/>
  </cols>
  <sheetData>
    <row r="1" spans="1:14" ht="34.200000000000003" customHeight="1" x14ac:dyDescent="0.3">
      <c r="A1" s="1" t="s">
        <v>3</v>
      </c>
      <c r="B1" s="1" t="s">
        <v>55</v>
      </c>
      <c r="C1" s="1" t="s">
        <v>44</v>
      </c>
      <c r="D1" s="1" t="s">
        <v>4</v>
      </c>
      <c r="E1" s="1" t="s">
        <v>5</v>
      </c>
      <c r="F1" s="1" t="s">
        <v>6</v>
      </c>
      <c r="G1" s="1" t="s">
        <v>43</v>
      </c>
      <c r="H1" s="1" t="s">
        <v>54</v>
      </c>
      <c r="I1" s="1" t="s">
        <v>60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 ht="34.200000000000003" customHeight="1" x14ac:dyDescent="0.3">
      <c r="A2">
        <v>1</v>
      </c>
      <c r="B2" t="s">
        <v>56</v>
      </c>
      <c r="C2" t="s">
        <v>52</v>
      </c>
      <c r="D2">
        <f ca="1">RANDBETWEEN(30,80)</f>
        <v>40</v>
      </c>
      <c r="E2">
        <f ca="1">RANDBETWEEN(20,60)</f>
        <v>50</v>
      </c>
      <c r="F2">
        <f ca="1">RANDBETWEEN(50,70)</f>
        <v>64</v>
      </c>
      <c r="G2">
        <f ca="1">SUM(D2:F2)</f>
        <v>154</v>
      </c>
      <c r="H2" t="str">
        <f ca="1">IF(G2&gt;=120,"PASS","FAIL")</f>
        <v>PASS</v>
      </c>
      <c r="I2" s="2">
        <f ca="1">COUNT(I1:I16,"FAIL")</f>
        <v>0</v>
      </c>
    </row>
    <row r="3" spans="1:14" ht="34.200000000000003" customHeight="1" x14ac:dyDescent="0.3">
      <c r="A3">
        <v>2</v>
      </c>
      <c r="B3" t="s">
        <v>56</v>
      </c>
      <c r="C3" t="s">
        <v>46</v>
      </c>
      <c r="D3">
        <f t="shared" ref="D3:E16" ca="1" si="0">RANDBETWEEN(30,80)</f>
        <v>51</v>
      </c>
      <c r="E3">
        <f t="shared" ref="E3:F16" ca="1" si="1">RANDBETWEEN(20,60)</f>
        <v>25</v>
      </c>
      <c r="F3">
        <f t="shared" ref="F3:G16" ca="1" si="2">RANDBETWEEN(50,70)</f>
        <v>70</v>
      </c>
      <c r="G3">
        <f t="shared" ref="G3:G13" ca="1" si="3">SUM(D3:F3)</f>
        <v>146</v>
      </c>
      <c r="H3" t="str">
        <f t="shared" ref="H3:H16" ca="1" si="4">IF(G3&gt;=120,"PASS","FAIL")</f>
        <v>PASS</v>
      </c>
      <c r="I3" s="2">
        <f t="shared" ref="I3:I16" ca="1" si="5">AVERAGE(D3:G3)</f>
        <v>73</v>
      </c>
      <c r="J3" s="3" t="s">
        <v>57</v>
      </c>
      <c r="K3" s="3"/>
    </row>
    <row r="4" spans="1:14" ht="34.200000000000003" customHeight="1" x14ac:dyDescent="0.3">
      <c r="A4">
        <v>3</v>
      </c>
      <c r="B4" t="s">
        <v>56</v>
      </c>
      <c r="C4" t="s">
        <v>47</v>
      </c>
      <c r="D4">
        <f t="shared" ca="1" si="0"/>
        <v>66</v>
      </c>
      <c r="E4">
        <f t="shared" ca="1" si="1"/>
        <v>37</v>
      </c>
      <c r="F4">
        <f t="shared" ca="1" si="2"/>
        <v>63</v>
      </c>
      <c r="G4">
        <f t="shared" ca="1" si="3"/>
        <v>166</v>
      </c>
      <c r="H4" t="str">
        <f t="shared" ca="1" si="4"/>
        <v>PASS</v>
      </c>
      <c r="I4" s="2">
        <f t="shared" ca="1" si="5"/>
        <v>83</v>
      </c>
      <c r="J4" s="3">
        <f ca="1">MAX(G2:G16)</f>
        <v>173</v>
      </c>
      <c r="K4" s="3"/>
    </row>
    <row r="5" spans="1:14" ht="34.200000000000003" customHeight="1" x14ac:dyDescent="0.3">
      <c r="A5">
        <v>4</v>
      </c>
      <c r="B5" t="s">
        <v>56</v>
      </c>
      <c r="C5" t="s">
        <v>48</v>
      </c>
      <c r="D5">
        <f t="shared" ca="1" si="0"/>
        <v>45</v>
      </c>
      <c r="E5">
        <f t="shared" ca="1" si="1"/>
        <v>54</v>
      </c>
      <c r="F5">
        <f t="shared" ca="1" si="2"/>
        <v>66</v>
      </c>
      <c r="G5">
        <f t="shared" ca="1" si="3"/>
        <v>165</v>
      </c>
      <c r="H5" t="str">
        <f t="shared" ca="1" si="4"/>
        <v>PASS</v>
      </c>
      <c r="I5" s="2">
        <f t="shared" ca="1" si="5"/>
        <v>82.5</v>
      </c>
    </row>
    <row r="6" spans="1:14" ht="34.200000000000003" customHeight="1" x14ac:dyDescent="0.3">
      <c r="A6">
        <v>5</v>
      </c>
      <c r="B6" t="s">
        <v>56</v>
      </c>
      <c r="C6" t="s">
        <v>49</v>
      </c>
      <c r="D6">
        <f t="shared" ca="1" si="0"/>
        <v>71</v>
      </c>
      <c r="E6">
        <f t="shared" ca="1" si="1"/>
        <v>28</v>
      </c>
      <c r="F6">
        <f t="shared" ca="1" si="2"/>
        <v>67</v>
      </c>
      <c r="G6">
        <f t="shared" ca="1" si="3"/>
        <v>166</v>
      </c>
      <c r="H6" t="str">
        <f t="shared" ca="1" si="4"/>
        <v>PASS</v>
      </c>
      <c r="I6" s="2">
        <f t="shared" ca="1" si="5"/>
        <v>83</v>
      </c>
      <c r="J6" s="3" t="s">
        <v>58</v>
      </c>
      <c r="K6" s="3"/>
      <c r="M6" t="s">
        <v>61</v>
      </c>
      <c r="N6">
        <f ca="1">COUNTIF(H2:H16,"PASS")</f>
        <v>11</v>
      </c>
    </row>
    <row r="7" spans="1:14" ht="34.200000000000003" customHeight="1" x14ac:dyDescent="0.3">
      <c r="A7">
        <v>6</v>
      </c>
      <c r="B7" t="s">
        <v>56</v>
      </c>
      <c r="C7" t="s">
        <v>50</v>
      </c>
      <c r="D7">
        <f t="shared" ca="1" si="0"/>
        <v>38</v>
      </c>
      <c r="E7">
        <f t="shared" ca="1" si="1"/>
        <v>56</v>
      </c>
      <c r="F7">
        <f t="shared" ca="1" si="2"/>
        <v>60</v>
      </c>
      <c r="G7">
        <f t="shared" ca="1" si="3"/>
        <v>154</v>
      </c>
      <c r="H7" t="str">
        <f t="shared" ca="1" si="4"/>
        <v>PASS</v>
      </c>
      <c r="I7" s="2">
        <f t="shared" ca="1" si="5"/>
        <v>77</v>
      </c>
      <c r="J7" s="3">
        <f ca="1">MIN(G2:G16)</f>
        <v>52</v>
      </c>
      <c r="K7" s="3"/>
      <c r="M7" t="s">
        <v>62</v>
      </c>
      <c r="N7">
        <f ca="1">COUNTIF(Table1[PASS/FAIL],"FAIL")</f>
        <v>4</v>
      </c>
    </row>
    <row r="8" spans="1:14" ht="34.200000000000003" customHeight="1" x14ac:dyDescent="0.3">
      <c r="A8">
        <v>7</v>
      </c>
      <c r="B8" t="s">
        <v>56</v>
      </c>
      <c r="C8" t="s">
        <v>51</v>
      </c>
      <c r="D8">
        <f t="shared" ca="1" si="0"/>
        <v>67</v>
      </c>
      <c r="E8">
        <f t="shared" ca="1" si="1"/>
        <v>41</v>
      </c>
      <c r="F8">
        <f t="shared" ca="1" si="2"/>
        <v>56</v>
      </c>
      <c r="G8">
        <f t="shared" ca="1" si="3"/>
        <v>164</v>
      </c>
      <c r="H8" t="str">
        <f t="shared" ca="1" si="4"/>
        <v>PASS</v>
      </c>
      <c r="I8" s="2">
        <f t="shared" ca="1" si="5"/>
        <v>82</v>
      </c>
    </row>
    <row r="9" spans="1:14" ht="34.200000000000003" customHeight="1" x14ac:dyDescent="0.3">
      <c r="A9">
        <v>8</v>
      </c>
      <c r="B9" t="s">
        <v>56</v>
      </c>
      <c r="C9" t="s">
        <v>52</v>
      </c>
      <c r="D9">
        <f t="shared" ca="1" si="0"/>
        <v>30</v>
      </c>
      <c r="E9">
        <f t="shared" ca="1" si="1"/>
        <v>27</v>
      </c>
      <c r="F9">
        <f t="shared" ca="1" si="2"/>
        <v>60</v>
      </c>
      <c r="G9">
        <f t="shared" ca="1" si="3"/>
        <v>117</v>
      </c>
      <c r="H9" t="str">
        <f t="shared" ca="1" si="4"/>
        <v>FAIL</v>
      </c>
      <c r="I9" s="2">
        <f t="shared" ca="1" si="5"/>
        <v>58.5</v>
      </c>
    </row>
    <row r="10" spans="1:14" ht="34.200000000000003" customHeight="1" x14ac:dyDescent="0.3">
      <c r="A10">
        <v>9</v>
      </c>
      <c r="B10" t="s">
        <v>56</v>
      </c>
      <c r="C10" t="s">
        <v>48</v>
      </c>
      <c r="D10">
        <f t="shared" ca="1" si="0"/>
        <v>39</v>
      </c>
      <c r="E10">
        <f t="shared" ca="1" si="1"/>
        <v>52</v>
      </c>
      <c r="F10">
        <f t="shared" ca="1" si="2"/>
        <v>55</v>
      </c>
      <c r="G10">
        <f t="shared" ca="1" si="3"/>
        <v>146</v>
      </c>
      <c r="H10" t="str">
        <f t="shared" ca="1" si="4"/>
        <v>PASS</v>
      </c>
      <c r="I10" s="2">
        <f t="shared" ca="1" si="5"/>
        <v>73</v>
      </c>
    </row>
    <row r="11" spans="1:14" ht="34.200000000000003" customHeight="1" x14ac:dyDescent="0.3">
      <c r="A11">
        <v>10</v>
      </c>
      <c r="B11" t="s">
        <v>56</v>
      </c>
      <c r="C11" t="s">
        <v>51</v>
      </c>
      <c r="D11">
        <f t="shared" ca="1" si="0"/>
        <v>57</v>
      </c>
      <c r="E11">
        <f t="shared" ca="1" si="1"/>
        <v>36</v>
      </c>
      <c r="F11">
        <f t="shared" ca="1" si="2"/>
        <v>54</v>
      </c>
      <c r="G11">
        <f t="shared" ca="1" si="3"/>
        <v>147</v>
      </c>
      <c r="H11" t="str">
        <f t="shared" ca="1" si="4"/>
        <v>PASS</v>
      </c>
      <c r="I11" s="2">
        <f t="shared" ca="1" si="5"/>
        <v>73.5</v>
      </c>
    </row>
    <row r="12" spans="1:14" ht="34.200000000000003" customHeight="1" x14ac:dyDescent="0.3">
      <c r="A12">
        <v>11</v>
      </c>
      <c r="B12" t="s">
        <v>56</v>
      </c>
      <c r="C12" t="s">
        <v>52</v>
      </c>
      <c r="D12">
        <f t="shared" ca="1" si="0"/>
        <v>61</v>
      </c>
      <c r="E12">
        <f t="shared" ca="1" si="1"/>
        <v>54</v>
      </c>
      <c r="F12">
        <f t="shared" ca="1" si="2"/>
        <v>58</v>
      </c>
      <c r="G12">
        <f t="shared" ca="1" si="3"/>
        <v>173</v>
      </c>
      <c r="H12" t="str">
        <f t="shared" ca="1" si="4"/>
        <v>PASS</v>
      </c>
      <c r="I12" s="2">
        <f t="shared" ca="1" si="5"/>
        <v>86.5</v>
      </c>
    </row>
    <row r="13" spans="1:14" ht="34.200000000000003" customHeight="1" x14ac:dyDescent="0.3">
      <c r="A13">
        <v>12</v>
      </c>
      <c r="B13" t="s">
        <v>56</v>
      </c>
      <c r="C13" t="s">
        <v>46</v>
      </c>
      <c r="D13">
        <f t="shared" ca="1" si="0"/>
        <v>42</v>
      </c>
      <c r="E13">
        <f t="shared" ca="1" si="1"/>
        <v>34</v>
      </c>
      <c r="F13">
        <f t="shared" ca="1" si="2"/>
        <v>70</v>
      </c>
      <c r="G13">
        <f t="shared" ca="1" si="3"/>
        <v>146</v>
      </c>
      <c r="H13" t="str">
        <f t="shared" ca="1" si="4"/>
        <v>PASS</v>
      </c>
      <c r="I13" s="2">
        <f t="shared" ca="1" si="5"/>
        <v>73</v>
      </c>
    </row>
    <row r="14" spans="1:14" ht="34.200000000000003" customHeight="1" x14ac:dyDescent="0.3">
      <c r="A14">
        <v>13</v>
      </c>
      <c r="B14" t="s">
        <v>56</v>
      </c>
      <c r="C14" t="s">
        <v>48</v>
      </c>
      <c r="D14">
        <f t="shared" ca="1" si="0"/>
        <v>72</v>
      </c>
      <c r="E14">
        <f t="shared" ca="1" si="0"/>
        <v>32</v>
      </c>
      <c r="F14">
        <f t="shared" ca="1" si="1"/>
        <v>25</v>
      </c>
      <c r="G14">
        <f t="shared" ca="1" si="2"/>
        <v>54</v>
      </c>
      <c r="H14" t="str">
        <f t="shared" ca="1" si="4"/>
        <v>FAIL</v>
      </c>
      <c r="I14" s="2">
        <f t="shared" ca="1" si="5"/>
        <v>45.75</v>
      </c>
    </row>
    <row r="15" spans="1:14" ht="34.200000000000003" customHeight="1" x14ac:dyDescent="0.3">
      <c r="A15">
        <v>14</v>
      </c>
      <c r="B15" t="s">
        <v>56</v>
      </c>
      <c r="C15" t="s">
        <v>52</v>
      </c>
      <c r="D15">
        <f t="shared" ca="1" si="0"/>
        <v>59</v>
      </c>
      <c r="E15">
        <f t="shared" ca="1" si="0"/>
        <v>75</v>
      </c>
      <c r="F15">
        <f t="shared" ca="1" si="1"/>
        <v>57</v>
      </c>
      <c r="G15">
        <f t="shared" ca="1" si="2"/>
        <v>59</v>
      </c>
      <c r="H15" t="str">
        <f t="shared" ca="1" si="4"/>
        <v>FAIL</v>
      </c>
      <c r="I15" s="2">
        <f t="shared" ca="1" si="5"/>
        <v>62.5</v>
      </c>
    </row>
    <row r="16" spans="1:14" ht="34.200000000000003" customHeight="1" x14ac:dyDescent="0.3">
      <c r="A16">
        <v>15</v>
      </c>
      <c r="B16" t="s">
        <v>56</v>
      </c>
      <c r="C16" t="s">
        <v>45</v>
      </c>
      <c r="D16">
        <f t="shared" ca="1" si="0"/>
        <v>75</v>
      </c>
      <c r="E16">
        <f t="shared" ca="1" si="0"/>
        <v>48</v>
      </c>
      <c r="F16">
        <f t="shared" ca="1" si="1"/>
        <v>45</v>
      </c>
      <c r="G16">
        <f t="shared" ca="1" si="2"/>
        <v>52</v>
      </c>
      <c r="H16" t="str">
        <f t="shared" ca="1" si="4"/>
        <v>FAIL</v>
      </c>
      <c r="I16" s="2">
        <f t="shared" ca="1" si="5"/>
        <v>55</v>
      </c>
    </row>
  </sheetData>
  <conditionalFormatting sqref="D2:F16">
    <cfRule type="cellIs" dxfId="0" priority="1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2BC9-E05B-4560-AA5E-B35EF1FA57EA}">
  <dimension ref="A1"/>
  <sheetViews>
    <sheetView workbookViewId="0">
      <selection activeCell="J22" sqref="J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 </vt:lpstr>
      <vt:lpstr>MARKS_ANALYSIS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Kumar Sethi</dc:creator>
  <cp:lastModifiedBy>Durgesh Kumar Sethi</cp:lastModifiedBy>
  <dcterms:created xsi:type="dcterms:W3CDTF">2025-12-27T04:19:33Z</dcterms:created>
  <dcterms:modified xsi:type="dcterms:W3CDTF">2026-01-02T06:11:09Z</dcterms:modified>
</cp:coreProperties>
</file>
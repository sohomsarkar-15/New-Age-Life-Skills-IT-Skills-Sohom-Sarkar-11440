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4128b043528ea8/Desktop/"/>
    </mc:Choice>
  </mc:AlternateContent>
  <xr:revisionPtr revIDLastSave="160" documentId="8_{B47E2D4D-D936-45D5-949C-2BC51AE89A57}" xr6:coauthVersionLast="47" xr6:coauthVersionMax="47" xr10:uidLastSave="{3434647F-B71C-4C70-B270-B5FC42C05040}"/>
  <bookViews>
    <workbookView xWindow="-108" yWindow="-108" windowWidth="23256" windowHeight="12456" activeTab="2" xr2:uid="{B474AAC3-4D7D-4320-ABD6-E03BE13E3D7A}"/>
  </bookViews>
  <sheets>
    <sheet name="Store_Sales" sheetId="1" r:id="rId1"/>
    <sheet name="Summary" sheetId="2" r:id="rId2"/>
    <sheet name="Charts" sheetId="3" r:id="rId3"/>
  </sheets>
  <definedNames>
    <definedName name="_xlnm._FilterDatabase" localSheetId="0" hidden="1">Store_Sales!$A$2:$F$10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F9" i="1"/>
  <c r="G9" i="1"/>
  <c r="G15" i="2"/>
  <c r="G16" i="2"/>
  <c r="G14" i="2"/>
  <c r="F14" i="2"/>
  <c r="F16" i="2"/>
  <c r="F15" i="2"/>
  <c r="C15" i="2"/>
  <c r="C14" i="2"/>
  <c r="H10" i="1"/>
  <c r="H7" i="1"/>
  <c r="H6" i="1"/>
  <c r="H5" i="1"/>
  <c r="H4" i="1"/>
  <c r="G10" i="1"/>
  <c r="G7" i="1"/>
  <c r="G6" i="1"/>
  <c r="G5" i="1"/>
  <c r="G4" i="1"/>
  <c r="H8" i="1"/>
  <c r="G8" i="1"/>
  <c r="H3" i="1"/>
  <c r="G3" i="1"/>
  <c r="H4" i="2"/>
  <c r="H5" i="2"/>
  <c r="H6" i="2"/>
  <c r="H7" i="2"/>
  <c r="H8" i="2"/>
  <c r="H3" i="2"/>
  <c r="G4" i="2"/>
  <c r="G5" i="2"/>
  <c r="G6" i="2"/>
  <c r="G7" i="2"/>
  <c r="G8" i="2"/>
  <c r="G3" i="2"/>
  <c r="F10" i="1"/>
</calcChain>
</file>

<file path=xl/sharedStrings.xml><?xml version="1.0" encoding="utf-8"?>
<sst xmlns="http://schemas.openxmlformats.org/spreadsheetml/2006/main" count="79" uniqueCount="34">
  <si>
    <t>Date</t>
  </si>
  <si>
    <t>Product</t>
  </si>
  <si>
    <t>Category</t>
  </si>
  <si>
    <t>Quantity</t>
  </si>
  <si>
    <t>Price</t>
  </si>
  <si>
    <t>Total Sales</t>
  </si>
  <si>
    <t>Headphones</t>
  </si>
  <si>
    <t>Electronics</t>
  </si>
  <si>
    <t>Mouse</t>
  </si>
  <si>
    <t>Keyboard</t>
  </si>
  <si>
    <t>Notebook</t>
  </si>
  <si>
    <t>Stationery</t>
  </si>
  <si>
    <t>Pen Drive</t>
  </si>
  <si>
    <t>Pen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</si>
  <si>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To calculate </t>
    </r>
    <r>
      <rPr>
        <b/>
        <sz val="11"/>
        <color theme="4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4"/>
        <rFont val="Aptos Narrow"/>
        <family val="2"/>
        <scheme val="minor"/>
      </rPr>
      <t>(=D2*E2)</t>
    </r>
  </si>
  <si>
    <t>Store_Sales sheet</t>
  </si>
  <si>
    <t>First Three Letters</t>
  </si>
  <si>
    <t>Last 2 Letters</t>
  </si>
  <si>
    <t>Highest sale</t>
  </si>
  <si>
    <t>Lowest sale</t>
  </si>
  <si>
    <t>Sum</t>
  </si>
  <si>
    <t>Average</t>
  </si>
  <si>
    <t>Month</t>
  </si>
  <si>
    <t>Jan</t>
  </si>
  <si>
    <t>Feb</t>
  </si>
  <si>
    <t>Mar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</si>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</sst>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0" fillId="0" borderId="6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Total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Summary!$E$14:$E$16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Summary!$F$14:$F$16</c:f>
              <c:numCache>
                <c:formatCode>General</c:formatCode>
                <c:ptCount val="3"/>
                <c:pt idx="0">
                  <c:v>25000</c:v>
                </c:pt>
                <c:pt idx="1">
                  <c:v>8400</c:v>
                </c:pt>
                <c:pt idx="2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4-43F8-9FFB-D7306E0E5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11488"/>
        <c:axId val="210418688"/>
      </c:lineChart>
      <c:catAx>
        <c:axId val="2104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8688"/>
        <c:crosses val="autoZero"/>
        <c:auto val="1"/>
        <c:lblAlgn val="ctr"/>
        <c:lblOffset val="100"/>
        <c:noMultiLvlLbl val="0"/>
      </c:catAx>
      <c:valAx>
        <c:axId val="21041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7620</xdr:rowOff>
    </xdr:from>
    <xdr:to>
      <xdr:col>8</xdr:col>
      <xdr:colOff>327660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7BEE-30DD-4119-99B8-FF9F5A0EF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3B602C-A167-425F-894C-D185F73B64E0}" name="Table5" displayName="Table5" ref="A1:H10" totalsRowShown="0" headerRowDxfId="0" headerRowBorderDxfId="10" tableBorderDxfId="11" totalsRowBorderDxfId="9">
  <autoFilter ref="A1:H10" xr:uid="{2A3B602C-A167-425F-894C-D185F73B64E0}"/>
  <tableColumns count="8">
    <tableColumn id="1" xr3:uid="{42CA53BC-0D86-4A13-93B8-B7CC1A2C9EF5}" name="Store_Sales sheet" dataDxfId="8"/>
    <tableColumn id="2" xr3:uid="{2C73A23D-62DD-42C2-9E3F-C9CA699255ED}" name="Column1" dataDxfId="7"/>
    <tableColumn id="3" xr3:uid="{409B9860-B8BC-47AE-8B17-0DA0914889D6}" name="Column2" dataDxfId="6"/>
    <tableColumn id="4" xr3:uid="{C4063B33-6642-4466-ABD8-2308AFBBFBBB}" name="Column3" dataDxfId="5"/>
    <tableColumn id="5" xr3:uid="{982125D5-2A15-4695-8C18-259F745E16F6}" name="Column4" dataDxfId="4"/>
    <tableColumn id="6" xr3:uid="{BF709B24-4466-414D-B8CB-503C02CA1930}" name="Column5" dataDxfId="3"/>
    <tableColumn id="7" xr3:uid="{F84192D5-7D38-4CA4-B25C-7DF34901C3EC}" name="Column6" dataDxfId="2">
      <calculatedColumnFormula>LEFT(B2,3)</calculatedColumnFormula>
    </tableColumn>
    <tableColumn id="8" xr3:uid="{29F5754B-7072-4AD1-A5D6-2327D12C9947}" name="Column7" dataDxfId="1">
      <calculatedColumnFormula>RIGHT(C2,2)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0330D-FE58-4745-A3D7-5347DD60565F}" name="Table1" displayName="Table1" ref="A1:I8" totalsRowShown="0" headerRowDxfId="18" dataDxfId="19" headerRowBorderDxfId="30" tableBorderDxfId="31" totalsRowBorderDxfId="29">
  <autoFilter ref="A1:I8" xr:uid="{3300330D-FE58-4745-A3D7-5347DD60565F}"/>
  <tableColumns count="9">
    <tableColumn id="1" xr3:uid="{A56DC372-65CE-4573-85A2-979F32D73CDE}" name="Store_Sales sheet" dataDxfId="28"/>
    <tableColumn id="2" xr3:uid="{C983982E-795E-40DF-A992-79483990A5F5}" name="Column1" dataDxfId="27"/>
    <tableColumn id="3" xr3:uid="{D6958EBD-0DAD-4E94-AB55-22EAD554AE03}" name="Column2" dataDxfId="26"/>
    <tableColumn id="4" xr3:uid="{B9C1D887-11C3-4C9C-81EF-2632657F0E20}" name="Column3" dataDxfId="25"/>
    <tableColumn id="5" xr3:uid="{C9A4902D-0A9C-45C0-A9EB-7776333156CA}" name="Column4" dataDxfId="24"/>
    <tableColumn id="6" xr3:uid="{8E4D7721-9138-439E-891C-CD90A895E0B6}" name="Column5" dataDxfId="23"/>
    <tableColumn id="7" xr3:uid="{F32B259A-75C9-4323-9220-54B4269A28E2}" name="Column6" dataDxfId="22">
      <calculatedColumnFormula>LEFT(B2,3)</calculatedColumnFormula>
    </tableColumn>
    <tableColumn id="8" xr3:uid="{0FE50BA4-F502-474A-8BA3-2E018E21BD71}" name="Column7" dataDxfId="21">
      <calculatedColumnFormula>RIGHT(C2,2)</calculatedColumnFormula>
    </tableColumn>
    <tableColumn id="9" xr3:uid="{BFF08C8D-7859-44A9-BA13-CF556F2CB27B}" name="Column8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9AF976-7C37-4C2A-88D9-2CDD5E2260E3}" name="Table2" displayName="Table2" ref="E13:G16" totalsRowShown="0" dataDxfId="14">
  <autoFilter ref="E13:G16" xr:uid="{B79AF976-7C37-4C2A-88D9-2CDD5E2260E3}"/>
  <tableColumns count="3">
    <tableColumn id="1" xr3:uid="{277613FE-1FA3-4D31-A247-A937D9E4A518}" name="Month" dataDxfId="17"/>
    <tableColumn id="2" xr3:uid="{2BE4F29D-33C8-4D3F-9325-C74A3FFDE51F}" name="Sum" dataDxfId="16"/>
    <tableColumn id="3" xr3:uid="{7CBB7A16-660D-4C9A-8143-948ED06B8828}" name="Average" dataDxfId="15">
      <calculatedColumnFormula>AVERAGEIF(I3:I8,"Jan",F3:F8)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6D1EE5-5F1C-49E5-85BE-2099BB91B31F}" name="Table3" displayName="Table3" ref="B13:C15" totalsRowShown="0">
  <autoFilter ref="B13:C15" xr:uid="{456D1EE5-5F1C-49E5-85BE-2099BB91B31F}"/>
  <tableColumns count="2">
    <tableColumn id="1" xr3:uid="{DB0EE1F3-F43B-4D83-8863-4FE450756831}" name="Column1" dataDxfId="13"/>
    <tableColumn id="2" xr3:uid="{32F2CA08-0C1F-4609-9CB4-D71063292128}" name="Column2" dataDxfId="12">
      <calculatedColumnFormula>MIN(F2:F7)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ACAE-40F6-4E59-B33A-3162CB80D958}">
  <dimension ref="A1:H13"/>
  <sheetViews>
    <sheetView workbookViewId="0">
      <selection activeCell="C8" sqref="C8"/>
    </sheetView>
  </sheetViews>
  <sheetFormatPr defaultRowHeight="14.4" x14ac:dyDescent="0.3"/>
  <cols>
    <col min="1" max="1" width="19.21875" customWidth="1"/>
    <col min="2" max="6" width="15.44140625" customWidth="1"/>
    <col min="7" max="7" width="20.44140625" bestFit="1" customWidth="1"/>
    <col min="8" max="8" width="15.33203125" bestFit="1" customWidth="1"/>
  </cols>
  <sheetData>
    <row r="1" spans="1:8" ht="30.45" customHeight="1" x14ac:dyDescent="0.3">
      <c r="A1" s="35" t="s">
        <v>15</v>
      </c>
      <c r="B1" s="36" t="s">
        <v>26</v>
      </c>
      <c r="C1" s="36" t="s">
        <v>27</v>
      </c>
      <c r="D1" s="36" t="s">
        <v>28</v>
      </c>
      <c r="E1" s="36" t="s">
        <v>29</v>
      </c>
      <c r="F1" s="36" t="s">
        <v>30</v>
      </c>
      <c r="G1" s="36" t="s">
        <v>31</v>
      </c>
      <c r="H1" s="37" t="s">
        <v>32</v>
      </c>
    </row>
    <row r="2" spans="1:8" ht="28.05" customHeight="1" x14ac:dyDescent="0.3">
      <c r="A2" s="33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2" t="s">
        <v>16</v>
      </c>
      <c r="H2" s="34" t="s">
        <v>17</v>
      </c>
    </row>
    <row r="3" spans="1:8" ht="30.45" customHeight="1" x14ac:dyDescent="0.3">
      <c r="A3" s="26">
        <v>45658</v>
      </c>
      <c r="B3" s="1" t="s">
        <v>6</v>
      </c>
      <c r="C3" s="1" t="s">
        <v>7</v>
      </c>
      <c r="D3" s="1">
        <v>5</v>
      </c>
      <c r="E3" s="1">
        <v>1000</v>
      </c>
      <c r="F3" s="4">
        <v>5000</v>
      </c>
      <c r="G3" s="4" t="str">
        <f>LEFT(B3,3)</f>
        <v>Hea</v>
      </c>
      <c r="H3" s="28" t="str">
        <f>RIGHT(C3,2)</f>
        <v>cs</v>
      </c>
    </row>
    <row r="4" spans="1:8" ht="25.05" customHeight="1" x14ac:dyDescent="0.3">
      <c r="A4" s="26">
        <v>45658</v>
      </c>
      <c r="B4" s="1" t="s">
        <v>6</v>
      </c>
      <c r="C4" s="1" t="s">
        <v>7</v>
      </c>
      <c r="D4" s="1">
        <v>5</v>
      </c>
      <c r="E4" s="1">
        <v>1500</v>
      </c>
      <c r="F4" s="4">
        <v>7500</v>
      </c>
      <c r="G4" s="4" t="str">
        <f t="shared" ref="G4:G7" si="0">LEFT(B4,3)</f>
        <v>Hea</v>
      </c>
      <c r="H4" s="28" t="str">
        <f t="shared" ref="H4:H7" si="1">RIGHT(C4,2)</f>
        <v>cs</v>
      </c>
    </row>
    <row r="5" spans="1:8" ht="25.05" customHeight="1" x14ac:dyDescent="0.3">
      <c r="A5" s="26">
        <v>45658</v>
      </c>
      <c r="B5" s="1" t="s">
        <v>6</v>
      </c>
      <c r="C5" s="1" t="s">
        <v>7</v>
      </c>
      <c r="D5" s="1">
        <v>5</v>
      </c>
      <c r="E5" s="1">
        <v>1500</v>
      </c>
      <c r="F5" s="4">
        <v>7500</v>
      </c>
      <c r="G5" s="4" t="str">
        <f t="shared" si="0"/>
        <v>Hea</v>
      </c>
      <c r="H5" s="28" t="str">
        <f t="shared" si="1"/>
        <v>cs</v>
      </c>
    </row>
    <row r="6" spans="1:8" ht="25.05" customHeight="1" x14ac:dyDescent="0.3">
      <c r="A6" s="26">
        <v>45700</v>
      </c>
      <c r="B6" s="1" t="s">
        <v>9</v>
      </c>
      <c r="C6" s="1" t="s">
        <v>7</v>
      </c>
      <c r="D6" s="1">
        <v>7</v>
      </c>
      <c r="E6" s="1">
        <v>1200</v>
      </c>
      <c r="F6" s="4">
        <v>8400</v>
      </c>
      <c r="G6" s="4" t="str">
        <f t="shared" si="0"/>
        <v>Key</v>
      </c>
      <c r="H6" s="28" t="str">
        <f t="shared" si="1"/>
        <v>cs</v>
      </c>
    </row>
    <row r="7" spans="1:8" ht="25.05" customHeight="1" x14ac:dyDescent="0.3">
      <c r="A7" s="26">
        <v>45662</v>
      </c>
      <c r="B7" s="1" t="s">
        <v>8</v>
      </c>
      <c r="C7" s="1" t="s">
        <v>7</v>
      </c>
      <c r="D7" s="1">
        <v>10</v>
      </c>
      <c r="E7" s="1">
        <v>500</v>
      </c>
      <c r="F7" s="4">
        <v>5000</v>
      </c>
      <c r="G7" s="4" t="str">
        <f t="shared" si="0"/>
        <v>Mou</v>
      </c>
      <c r="H7" s="28" t="str">
        <f t="shared" si="1"/>
        <v>cs</v>
      </c>
    </row>
    <row r="8" spans="1:8" ht="25.05" customHeight="1" x14ac:dyDescent="0.3">
      <c r="A8" s="26">
        <v>45706</v>
      </c>
      <c r="B8" s="1" t="s">
        <v>10</v>
      </c>
      <c r="C8" s="1" t="s">
        <v>11</v>
      </c>
      <c r="D8" s="1">
        <v>20</v>
      </c>
      <c r="E8" s="1">
        <v>100</v>
      </c>
      <c r="F8" s="4">
        <v>6400</v>
      </c>
      <c r="G8" s="4" t="str">
        <f t="shared" ref="G4:G9" si="2">LEFT(B8,3)</f>
        <v>Not</v>
      </c>
      <c r="H8" s="28" t="str">
        <f t="shared" ref="H4:H9" si="3">RIGHT(C8,2)</f>
        <v>ry</v>
      </c>
    </row>
    <row r="9" spans="1:8" ht="25.05" customHeight="1" x14ac:dyDescent="0.3">
      <c r="A9" s="26">
        <v>45738</v>
      </c>
      <c r="B9" s="1" t="s">
        <v>13</v>
      </c>
      <c r="C9" s="1" t="s">
        <v>11</v>
      </c>
      <c r="D9" s="1">
        <v>50</v>
      </c>
      <c r="E9" s="1">
        <v>20</v>
      </c>
      <c r="F9" s="4">
        <f>D9*E9</f>
        <v>1000</v>
      </c>
      <c r="G9" s="4" t="str">
        <f t="shared" si="2"/>
        <v>Pen</v>
      </c>
      <c r="H9" s="28" t="str">
        <f t="shared" si="3"/>
        <v>ry</v>
      </c>
    </row>
    <row r="10" spans="1:8" ht="25.05" customHeight="1" x14ac:dyDescent="0.3">
      <c r="A10" s="27">
        <v>45726</v>
      </c>
      <c r="B10" s="3" t="s">
        <v>12</v>
      </c>
      <c r="C10" s="3" t="s">
        <v>7</v>
      </c>
      <c r="D10" s="3">
        <v>8</v>
      </c>
      <c r="E10" s="3">
        <v>800</v>
      </c>
      <c r="F10" s="29">
        <f>D10*E10</f>
        <v>6400</v>
      </c>
      <c r="G10" s="29" t="str">
        <f>LEFT(B10,3)</f>
        <v>Pen</v>
      </c>
      <c r="H10" s="30" t="str">
        <f>RIGHT(C10,2)</f>
        <v>cs</v>
      </c>
    </row>
    <row r="13" spans="1:8" ht="21.45" customHeight="1" x14ac:dyDescent="0.3">
      <c r="A13" s="2" t="s">
        <v>14</v>
      </c>
      <c r="B13" s="2"/>
      <c r="C13" s="2"/>
    </row>
  </sheetData>
  <sheetProtection algorithmName="SHA-512" hashValue="Leb1LaN8K/fPu1AF0cF4i8QbxQlfDjAM7yWQasuFKegLoC70klo41bhVeHluM+TLwVeKT6hQ7nz++bD+CtgPtw==" saltValue="bGKOGSnWgasTFJ3VQsvunw==" spinCount="100000" sheet="1" objects="1" scenarios="1"/>
  <sortState xmlns:xlrd2="http://schemas.microsoft.com/office/spreadsheetml/2017/richdata2" ref="A3:F10">
    <sortCondition ref="B3:B10"/>
    <sortCondition ref="C3:C10"/>
  </sortState>
  <mergeCells count="1">
    <mergeCell ref="A13:C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9273-2016-4D9C-B6C7-ED891D7191F5}">
  <dimension ref="A1:I16"/>
  <sheetViews>
    <sheetView workbookViewId="0">
      <selection activeCell="E14" sqref="E14:F16"/>
    </sheetView>
  </sheetViews>
  <sheetFormatPr defaultRowHeight="14.4" x14ac:dyDescent="0.3"/>
  <cols>
    <col min="1" max="1" width="17.5546875" style="5" customWidth="1"/>
    <col min="2" max="2" width="13.33203125" style="5" customWidth="1"/>
    <col min="3" max="3" width="12.5546875" style="5" customWidth="1"/>
    <col min="4" max="4" width="11.6640625" style="5" customWidth="1"/>
    <col min="5" max="6" width="10.33203125" style="5" customWidth="1"/>
    <col min="7" max="7" width="16" style="5" customWidth="1"/>
    <col min="8" max="9" width="10.33203125" style="5" customWidth="1"/>
    <col min="10" max="10" width="11" style="5" customWidth="1"/>
    <col min="11" max="16384" width="8.88671875" style="5"/>
  </cols>
  <sheetData>
    <row r="1" spans="1:9" x14ac:dyDescent="0.3">
      <c r="A1" s="17" t="s">
        <v>15</v>
      </c>
      <c r="B1" s="18" t="s">
        <v>26</v>
      </c>
      <c r="C1" s="18" t="s">
        <v>27</v>
      </c>
      <c r="D1" s="18" t="s">
        <v>28</v>
      </c>
      <c r="E1" s="18" t="s">
        <v>29</v>
      </c>
      <c r="F1" s="18" t="s">
        <v>30</v>
      </c>
      <c r="G1" s="19" t="s">
        <v>31</v>
      </c>
      <c r="H1" s="19" t="s">
        <v>32</v>
      </c>
      <c r="I1" s="20" t="s">
        <v>33</v>
      </c>
    </row>
    <row r="2" spans="1:9" ht="28.8" x14ac:dyDescent="0.3">
      <c r="A2" s="1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12" t="s">
        <v>16</v>
      </c>
      <c r="H2" s="12" t="s">
        <v>17</v>
      </c>
      <c r="I2" s="16" t="s">
        <v>22</v>
      </c>
    </row>
    <row r="3" spans="1:9" ht="31.2" customHeight="1" x14ac:dyDescent="0.3">
      <c r="A3" s="14">
        <v>45658</v>
      </c>
      <c r="B3" s="8" t="s">
        <v>6</v>
      </c>
      <c r="C3" s="8" t="s">
        <v>7</v>
      </c>
      <c r="D3" s="8">
        <v>5</v>
      </c>
      <c r="E3" s="8">
        <v>1000</v>
      </c>
      <c r="F3" s="9">
        <v>5000</v>
      </c>
      <c r="G3" s="9" t="str">
        <f>LEFT(B3,3)</f>
        <v>Hea</v>
      </c>
      <c r="H3" s="9" t="str">
        <f>RIGHT(C3,2)</f>
        <v>cs</v>
      </c>
      <c r="I3" s="15" t="s">
        <v>23</v>
      </c>
    </row>
    <row r="4" spans="1:9" x14ac:dyDescent="0.3">
      <c r="A4" s="14">
        <v>45658</v>
      </c>
      <c r="B4" s="8" t="s">
        <v>6</v>
      </c>
      <c r="C4" s="8" t="s">
        <v>7</v>
      </c>
      <c r="D4" s="8">
        <v>5</v>
      </c>
      <c r="E4" s="8">
        <v>1500</v>
      </c>
      <c r="F4" s="9">
        <v>7500</v>
      </c>
      <c r="G4" s="9" t="str">
        <f t="shared" ref="G4:G8" si="0">LEFT(B4,3)</f>
        <v>Hea</v>
      </c>
      <c r="H4" s="9" t="str">
        <f t="shared" ref="H4:H8" si="1">RIGHT(C4,2)</f>
        <v>cs</v>
      </c>
      <c r="I4" s="15" t="s">
        <v>23</v>
      </c>
    </row>
    <row r="5" spans="1:9" x14ac:dyDescent="0.3">
      <c r="A5" s="14">
        <v>45658</v>
      </c>
      <c r="B5" s="8" t="s">
        <v>6</v>
      </c>
      <c r="C5" s="8" t="s">
        <v>7</v>
      </c>
      <c r="D5" s="8">
        <v>5</v>
      </c>
      <c r="E5" s="8">
        <v>1500</v>
      </c>
      <c r="F5" s="9">
        <v>7500</v>
      </c>
      <c r="G5" s="9" t="str">
        <f t="shared" si="0"/>
        <v>Hea</v>
      </c>
      <c r="H5" s="9" t="str">
        <f t="shared" si="1"/>
        <v>cs</v>
      </c>
      <c r="I5" s="15" t="s">
        <v>23</v>
      </c>
    </row>
    <row r="6" spans="1:9" x14ac:dyDescent="0.3">
      <c r="A6" s="14">
        <v>45700</v>
      </c>
      <c r="B6" s="8" t="s">
        <v>9</v>
      </c>
      <c r="C6" s="8" t="s">
        <v>7</v>
      </c>
      <c r="D6" s="8">
        <v>7</v>
      </c>
      <c r="E6" s="8">
        <v>1200</v>
      </c>
      <c r="F6" s="9">
        <v>8400</v>
      </c>
      <c r="G6" s="9" t="str">
        <f t="shared" si="0"/>
        <v>Key</v>
      </c>
      <c r="H6" s="9" t="str">
        <f t="shared" si="1"/>
        <v>cs</v>
      </c>
      <c r="I6" s="15" t="s">
        <v>24</v>
      </c>
    </row>
    <row r="7" spans="1:9" x14ac:dyDescent="0.3">
      <c r="A7" s="14">
        <v>45662</v>
      </c>
      <c r="B7" s="8" t="s">
        <v>8</v>
      </c>
      <c r="C7" s="8" t="s">
        <v>7</v>
      </c>
      <c r="D7" s="8">
        <v>10</v>
      </c>
      <c r="E7" s="8">
        <v>500</v>
      </c>
      <c r="F7" s="9">
        <v>5000</v>
      </c>
      <c r="G7" s="9" t="str">
        <f t="shared" si="0"/>
        <v>Mou</v>
      </c>
      <c r="H7" s="9" t="str">
        <f t="shared" si="1"/>
        <v>cs</v>
      </c>
      <c r="I7" s="15" t="s">
        <v>23</v>
      </c>
    </row>
    <row r="8" spans="1:9" x14ac:dyDescent="0.3">
      <c r="A8" s="21">
        <v>45726</v>
      </c>
      <c r="B8" s="22" t="s">
        <v>12</v>
      </c>
      <c r="C8" s="22" t="s">
        <v>7</v>
      </c>
      <c r="D8" s="22">
        <v>8</v>
      </c>
      <c r="E8" s="22">
        <v>800</v>
      </c>
      <c r="F8" s="23">
        <v>6400</v>
      </c>
      <c r="G8" s="23" t="str">
        <f t="shared" si="0"/>
        <v>Pen</v>
      </c>
      <c r="H8" s="23" t="str">
        <f t="shared" si="1"/>
        <v>cs</v>
      </c>
      <c r="I8" s="24" t="s">
        <v>25</v>
      </c>
    </row>
    <row r="13" spans="1:9" x14ac:dyDescent="0.3">
      <c r="B13" s="11" t="s">
        <v>26</v>
      </c>
      <c r="C13" s="10" t="s">
        <v>27</v>
      </c>
      <c r="E13" s="25" t="s">
        <v>22</v>
      </c>
      <c r="F13" s="7" t="s">
        <v>20</v>
      </c>
      <c r="G13" s="7" t="s">
        <v>21</v>
      </c>
    </row>
    <row r="14" spans="1:9" x14ac:dyDescent="0.3">
      <c r="B14" s="11" t="s">
        <v>18</v>
      </c>
      <c r="C14" s="10">
        <f>MAX(F3:F8)</f>
        <v>8400</v>
      </c>
      <c r="E14" s="10" t="s">
        <v>23</v>
      </c>
      <c r="F14" s="10">
        <f>SUMIF(I3:I8,"Jan",F3:F8)</f>
        <v>25000</v>
      </c>
      <c r="G14" s="10">
        <f>AVERAGEIF(I3:I8,"Jan",F3:F8)</f>
        <v>6250</v>
      </c>
    </row>
    <row r="15" spans="1:9" x14ac:dyDescent="0.3">
      <c r="B15" s="11" t="s">
        <v>19</v>
      </c>
      <c r="C15" s="10">
        <f>MIN(F3:F8)</f>
        <v>5000</v>
      </c>
      <c r="E15" s="10" t="s">
        <v>24</v>
      </c>
      <c r="F15" s="10">
        <f>SUMIF(I4:I9,"Feb",F4:F9)</f>
        <v>8400</v>
      </c>
      <c r="G15" s="10">
        <f t="shared" ref="G15:G16" si="2">AVERAGEIF(I4:I9,"Jan",F4:F9)</f>
        <v>6666.666666666667</v>
      </c>
    </row>
    <row r="16" spans="1:9" x14ac:dyDescent="0.3">
      <c r="E16" s="10" t="s">
        <v>25</v>
      </c>
      <c r="F16" s="10">
        <f>SUMIF(I5:I10,"Mar",F5:F10)</f>
        <v>6400</v>
      </c>
      <c r="G16" s="10">
        <f t="shared" si="2"/>
        <v>6250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F5EE-4F1E-43C4-BE3E-0977FB3A4D38}">
  <dimension ref="A1"/>
  <sheetViews>
    <sheetView tabSelected="1" workbookViewId="0">
      <selection activeCell="V7" sqref="V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Shivam Kumar Kunwar</cp:lastModifiedBy>
  <dcterms:created xsi:type="dcterms:W3CDTF">2025-12-29T17:36:34Z</dcterms:created>
  <dcterms:modified xsi:type="dcterms:W3CDTF">2025-12-30T12:50:32Z</dcterms:modified>
</cp:coreProperties>
</file>
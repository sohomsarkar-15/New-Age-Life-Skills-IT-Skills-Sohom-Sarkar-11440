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1B0948679D4AF2/Documents/"/>
    </mc:Choice>
  </mc:AlternateContent>
  <xr:revisionPtr revIDLastSave="6" documentId="8_{D3F2CBB7-F1D6-4499-ADA8-46F1B0FBB843}" xr6:coauthVersionLast="47" xr6:coauthVersionMax="47" xr10:uidLastSave="{8A94BBFA-8757-4397-9512-453D6381996D}"/>
  <bookViews>
    <workbookView xWindow="-110" yWindow="-110" windowWidth="19420" windowHeight="11500" activeTab="2" xr2:uid="{5FB8403A-62F4-4C19-86FA-04030C6AC858}"/>
  </bookViews>
  <sheets>
    <sheet name="expenses" sheetId="1" r:id="rId1"/>
    <sheet name="budget" sheetId="2" r:id="rId2"/>
    <sheet name="cha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2" i="2"/>
  <c r="K2" i="1"/>
  <c r="K6" i="1"/>
  <c r="K5" i="1"/>
  <c r="K3" i="1"/>
  <c r="K4" i="1"/>
</calcChain>
</file>

<file path=xl/sharedStrings.xml><?xml version="1.0" encoding="utf-8"?>
<sst xmlns="http://schemas.openxmlformats.org/spreadsheetml/2006/main" count="140" uniqueCount="67">
  <si>
    <t>Date</t>
  </si>
  <si>
    <t>Category</t>
  </si>
  <si>
    <t>Expense Detail</t>
  </si>
  <si>
    <t>Payment Method</t>
  </si>
  <si>
    <t>Food</t>
  </si>
  <si>
    <t>Lunch</t>
  </si>
  <si>
    <t>Cash</t>
  </si>
  <si>
    <t>Travel</t>
  </si>
  <si>
    <t>Bus Pass</t>
  </si>
  <si>
    <t>UPI</t>
  </si>
  <si>
    <t>Shopping</t>
  </si>
  <si>
    <t>Clothes</t>
  </si>
  <si>
    <t>Card</t>
  </si>
  <si>
    <t>Fees</t>
  </si>
  <si>
    <t>Exam Fees</t>
  </si>
  <si>
    <t>Dinner</t>
  </si>
  <si>
    <t>Taxi</t>
  </si>
  <si>
    <t>Shoes</t>
  </si>
  <si>
    <t>Snacks</t>
  </si>
  <si>
    <t>Other</t>
  </si>
  <si>
    <t>Mobile Recharge</t>
  </si>
  <si>
    <t>Train Ticket</t>
  </si>
  <si>
    <t>Course Fees</t>
  </si>
  <si>
    <t>Bag</t>
  </si>
  <si>
    <t>Breakfast</t>
  </si>
  <si>
    <t>Internet Bill</t>
  </si>
  <si>
    <t>Fuel</t>
  </si>
  <si>
    <t>Accessories</t>
  </si>
  <si>
    <t>Library Fees</t>
  </si>
  <si>
    <t>Medicine</t>
  </si>
  <si>
    <t>Cab</t>
  </si>
  <si>
    <t>food</t>
  </si>
  <si>
    <t>travel</t>
  </si>
  <si>
    <t>shopping</t>
  </si>
  <si>
    <t>fees</t>
  </si>
  <si>
    <t>others</t>
  </si>
  <si>
    <t>budget</t>
  </si>
  <si>
    <t>actual</t>
  </si>
  <si>
    <t>difference</t>
  </si>
  <si>
    <t>Expenses</t>
  </si>
  <si>
    <t xml:space="preserve">Amount </t>
  </si>
  <si>
    <t>Column1</t>
  </si>
  <si>
    <t>Category2</t>
  </si>
  <si>
    <t>Day</t>
  </si>
  <si>
    <t>Month</t>
  </si>
  <si>
    <t>Year</t>
  </si>
  <si>
    <t>2025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</si>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</sst>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expenses!$K$1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D5-4EE8-93DA-CC274A009C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D5-4EE8-93DA-CC274A009C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D5-4EE8-93DA-CC274A009C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D5-4EE8-93DA-CC274A009C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D5-4EE8-93DA-CC274A009C36}"/>
              </c:ext>
            </c:extLst>
          </c:dPt>
          <c:cat>
            <c:strRef>
              <c:f>expenses!$J$2:$J$6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others</c:v>
                </c:pt>
              </c:strCache>
            </c:strRef>
          </c:cat>
          <c:val>
            <c:numRef>
              <c:f>expenses!$K$2:$K$6</c:f>
              <c:numCache>
                <c:formatCode>General</c:formatCode>
                <c:ptCount val="5"/>
                <c:pt idx="0">
                  <c:v>1280</c:v>
                </c:pt>
                <c:pt idx="1">
                  <c:v>10000</c:v>
                </c:pt>
                <c:pt idx="2">
                  <c:v>9300</c:v>
                </c:pt>
                <c:pt idx="3">
                  <c:v>5800</c:v>
                </c:pt>
                <c:pt idx="4">
                  <c:v>1898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D5-4EE8-93DA-CC274A009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budget!$A$1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budget!$A$2:$A$6</c:f>
              <c:numCache>
                <c:formatCode>General</c:formatCode>
                <c:ptCount val="5"/>
                <c:pt idx="0">
                  <c:v>3500</c:v>
                </c:pt>
                <c:pt idx="1">
                  <c:v>40000</c:v>
                </c:pt>
                <c:pt idx="2">
                  <c:v>12000</c:v>
                </c:pt>
                <c:pt idx="3">
                  <c:v>8000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7-4F3F-B4D2-EB18494E8E98}"/>
            </c:ext>
          </c:extLst>
        </c:ser>
        <c:ser>
          <c:idx val="1"/>
          <c:order val="1"/>
          <c:tx>
            <c:strRef>
              <c:f>budget!$B$1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budget!$B$2:$B$6</c:f>
              <c:numCache>
                <c:formatCode>General</c:formatCode>
                <c:ptCount val="5"/>
                <c:pt idx="0">
                  <c:v>1280</c:v>
                </c:pt>
                <c:pt idx="1">
                  <c:v>10000</c:v>
                </c:pt>
                <c:pt idx="2">
                  <c:v>9300</c:v>
                </c:pt>
                <c:pt idx="3">
                  <c:v>5300</c:v>
                </c:pt>
                <c:pt idx="4">
                  <c:v>1898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7-4F3F-B4D2-EB18494E8E98}"/>
            </c:ext>
          </c:extLst>
        </c:ser>
        <c:ser>
          <c:idx val="2"/>
          <c:order val="2"/>
          <c:tx>
            <c:strRef>
              <c:f>budget!$C$1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budget!$C$2:$C$6</c:f>
              <c:numCache>
                <c:formatCode>General</c:formatCode>
                <c:ptCount val="5"/>
                <c:pt idx="0">
                  <c:v>2220</c:v>
                </c:pt>
                <c:pt idx="1">
                  <c:v>30000</c:v>
                </c:pt>
                <c:pt idx="2">
                  <c:v>2700</c:v>
                </c:pt>
                <c:pt idx="3">
                  <c:v>2700</c:v>
                </c:pt>
                <c:pt idx="4">
                  <c:v>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7-4F3F-B4D2-EB18494E8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9573632"/>
        <c:axId val="1259574592"/>
        <c:axId val="0"/>
      </c:bar3DChart>
      <c:catAx>
        <c:axId val="1259573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74592"/>
        <c:crosses val="autoZero"/>
        <c:auto val="1"/>
        <c:lblAlgn val="ctr"/>
        <c:lblOffset val="100"/>
        <c:noMultiLvlLbl val="0"/>
      </c:catAx>
      <c:valAx>
        <c:axId val="12595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7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323850</xdr:colOff>
      <xdr:row>21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84255F-21A7-4545-949D-59FB57819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0</xdr:row>
      <xdr:rowOff>0</xdr:rowOff>
    </xdr:from>
    <xdr:to>
      <xdr:col>16</xdr:col>
      <xdr:colOff>152400</xdr:colOff>
      <xdr:row>21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97DC51-EDA1-4AD5-9BCB-E2E960F3C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D3927F-C614-43C3-B82B-63411CAEADCE}" name="Table2" displayName="Table2" ref="A1:K21" totalsRowShown="0" tableBorderDxfId="8">
  <autoFilter ref="A1:K21" xr:uid="{6DD3927F-C614-43C3-B82B-63411CAEADCE}"/>
  <tableColumns count="11">
    <tableColumn id="1" xr3:uid="{0D22C49F-7592-42CD-B8D7-24077A7BAFF0}" name="Date" dataDxfId="7"/>
    <tableColumn id="2" xr3:uid="{31AD7D19-511A-4D1E-8E0D-39D5BC1F279D}" name="Day" dataDxfId="6"/>
    <tableColumn id="3" xr3:uid="{93995403-2128-4724-BC1E-2E3231DA941C}" name="Month" dataDxfId="5"/>
    <tableColumn id="4" xr3:uid="{8A8FBEB4-B821-4060-A2B5-32AA64322EAE}" name="Year" dataDxfId="4"/>
    <tableColumn id="5" xr3:uid="{FB5FC80F-5A0E-498F-A14D-0537F55F346E}" name="Category" dataDxfId="3"/>
    <tableColumn id="6" xr3:uid="{D28BA015-918D-4550-BBE0-0636728B5827}" name="Expense Detail" dataDxfId="2"/>
    <tableColumn id="7" xr3:uid="{4F1D18EB-4538-4EC6-A8DC-A5C3C057D119}" name="Amount " dataDxfId="1"/>
    <tableColumn id="8" xr3:uid="{104BE95B-9E9A-4820-913C-C57FFA7D3DFC}" name="Payment Method" dataDxfId="0"/>
    <tableColumn id="9" xr3:uid="{D8D82596-5B5A-4F97-AA59-7CDC0A170F00}" name="Column1"/>
    <tableColumn id="10" xr3:uid="{30B10564-EFF3-4894-BDC4-F772DE0D15E1}" name="Category2"/>
    <tableColumn id="11" xr3:uid="{DA51712C-63B4-439A-8A2A-C9564E0FAD75}" name="Expenses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59DE6F-5145-4F87-BA71-8C524F6BE704}" name="Table3" displayName="Table3" ref="A1:D6" totalsRowShown="0">
  <autoFilter ref="A1:D6" xr:uid="{7459DE6F-5145-4F87-BA71-8C524F6BE704}"/>
  <tableColumns count="4">
    <tableColumn id="1" xr3:uid="{0EFB0F90-C2EC-469B-A484-94B7751C4448}" name="budget"/>
    <tableColumn id="2" xr3:uid="{2D94A062-058B-435E-A204-A1FBB688C154}" name="actual"/>
    <tableColumn id="3" xr3:uid="{128D5B75-6801-472E-8676-77493CCB0678}" name="difference">
      <calculatedColumnFormula>A2-B2</calculatedColumnFormula>
    </tableColumn>
    <tableColumn id="4" xr3:uid="{C60E5A41-6930-4CFD-8767-ED9B8710FB28}" name="Column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8BE8-6479-4CFD-A8CD-C5C7C6EC83D4}">
  <dimension ref="A1:K21"/>
  <sheetViews>
    <sheetView zoomScale="58" workbookViewId="0">
      <selection activeCell="I5" sqref="I5"/>
    </sheetView>
  </sheetViews>
  <sheetFormatPr defaultRowHeight="14.5" x14ac:dyDescent="0.35"/>
  <cols>
    <col min="1" max="8" width="23.1796875" style="1" customWidth="1"/>
    <col min="9" max="13" width="23.1796875" customWidth="1"/>
  </cols>
  <sheetData>
    <row r="1" spans="1:11" ht="42" customHeight="1" x14ac:dyDescent="0.35">
      <c r="A1" s="9" t="s">
        <v>0</v>
      </c>
      <c r="B1" s="3" t="s">
        <v>43</v>
      </c>
      <c r="C1" s="3" t="s">
        <v>44</v>
      </c>
      <c r="D1" s="3" t="s">
        <v>45</v>
      </c>
      <c r="E1" s="3" t="s">
        <v>1</v>
      </c>
      <c r="F1" s="3" t="s">
        <v>2</v>
      </c>
      <c r="G1" s="3" t="s">
        <v>40</v>
      </c>
      <c r="H1" s="3" t="s">
        <v>3</v>
      </c>
      <c r="I1" t="s">
        <v>41</v>
      </c>
      <c r="J1" s="7" t="s">
        <v>42</v>
      </c>
      <c r="K1" s="7" t="s">
        <v>39</v>
      </c>
    </row>
    <row r="2" spans="1:11" ht="42" customHeight="1" x14ac:dyDescent="0.4">
      <c r="A2" s="10">
        <v>45658</v>
      </c>
      <c r="B2" s="8" t="s">
        <v>47</v>
      </c>
      <c r="C2" s="8" t="s">
        <v>47</v>
      </c>
      <c r="D2" s="8" t="s">
        <v>46</v>
      </c>
      <c r="E2" s="2" t="s">
        <v>4</v>
      </c>
      <c r="F2" s="2" t="s">
        <v>5</v>
      </c>
      <c r="G2" s="2">
        <v>250</v>
      </c>
      <c r="H2" s="2" t="s">
        <v>6</v>
      </c>
      <c r="J2" s="4" t="s">
        <v>31</v>
      </c>
      <c r="K2" s="5">
        <f>SUMIF(E2:E21,"food",G2:G21)</f>
        <v>1280</v>
      </c>
    </row>
    <row r="3" spans="1:11" ht="42" customHeight="1" x14ac:dyDescent="0.4">
      <c r="A3" s="10">
        <v>45659</v>
      </c>
      <c r="B3" s="8" t="s">
        <v>48</v>
      </c>
      <c r="C3" s="8" t="s">
        <v>47</v>
      </c>
      <c r="D3" s="8" t="s">
        <v>46</v>
      </c>
      <c r="E3" s="2" t="s">
        <v>7</v>
      </c>
      <c r="F3" s="2" t="s">
        <v>8</v>
      </c>
      <c r="G3" s="2">
        <v>1200</v>
      </c>
      <c r="H3" s="2" t="s">
        <v>9</v>
      </c>
      <c r="J3" s="4" t="s">
        <v>32</v>
      </c>
      <c r="K3" s="5">
        <f>SUMIF(E3:E22,"Travel",G3:G22)</f>
        <v>10000</v>
      </c>
    </row>
    <row r="4" spans="1:11" ht="42" customHeight="1" x14ac:dyDescent="0.4">
      <c r="A4" s="10">
        <v>45660</v>
      </c>
      <c r="B4" s="8" t="s">
        <v>49</v>
      </c>
      <c r="C4" s="8" t="s">
        <v>47</v>
      </c>
      <c r="D4" s="8" t="s">
        <v>46</v>
      </c>
      <c r="E4" s="2" t="s">
        <v>10</v>
      </c>
      <c r="F4" s="2" t="s">
        <v>11</v>
      </c>
      <c r="G4" s="2">
        <v>3200</v>
      </c>
      <c r="H4" s="2" t="s">
        <v>12</v>
      </c>
      <c r="J4" s="4" t="s">
        <v>33</v>
      </c>
      <c r="K4" s="5">
        <f>SUMIF(E4:E23,"Shopping",G4:G23)</f>
        <v>9300</v>
      </c>
    </row>
    <row r="5" spans="1:11" ht="42" customHeight="1" x14ac:dyDescent="0.4">
      <c r="A5" s="10">
        <v>45661</v>
      </c>
      <c r="B5" s="8" t="s">
        <v>50</v>
      </c>
      <c r="C5" s="8" t="s">
        <v>47</v>
      </c>
      <c r="D5" s="8" t="s">
        <v>46</v>
      </c>
      <c r="E5" s="2" t="s">
        <v>13</v>
      </c>
      <c r="F5" s="2" t="s">
        <v>14</v>
      </c>
      <c r="G5" s="2">
        <v>1500</v>
      </c>
      <c r="H5" s="2" t="s">
        <v>9</v>
      </c>
      <c r="J5" s="6" t="s">
        <v>34</v>
      </c>
      <c r="K5" s="5">
        <f>SUMIF(E5:E24,"Fees",G5:G24)</f>
        <v>5800</v>
      </c>
    </row>
    <row r="6" spans="1:11" ht="42" customHeight="1" x14ac:dyDescent="0.4">
      <c r="A6" s="10">
        <v>45662</v>
      </c>
      <c r="B6" s="8" t="s">
        <v>51</v>
      </c>
      <c r="C6" s="8" t="s">
        <v>47</v>
      </c>
      <c r="D6" s="8" t="s">
        <v>46</v>
      </c>
      <c r="E6" s="2" t="s">
        <v>4</v>
      </c>
      <c r="F6" s="2" t="s">
        <v>15</v>
      </c>
      <c r="G6" s="2">
        <v>400</v>
      </c>
      <c r="H6" s="2" t="s">
        <v>6</v>
      </c>
      <c r="J6" s="6" t="s">
        <v>35</v>
      </c>
      <c r="K6" s="5">
        <f>SUMIF(E6:E25,"Other",G6:G25)</f>
        <v>1898</v>
      </c>
    </row>
    <row r="7" spans="1:11" ht="42" customHeight="1" x14ac:dyDescent="0.35">
      <c r="A7" s="10">
        <v>45663</v>
      </c>
      <c r="B7" s="8" t="s">
        <v>52</v>
      </c>
      <c r="C7" s="8" t="s">
        <v>47</v>
      </c>
      <c r="D7" s="8" t="s">
        <v>46</v>
      </c>
      <c r="E7" s="2" t="s">
        <v>7</v>
      </c>
      <c r="F7" s="2" t="s">
        <v>16</v>
      </c>
      <c r="G7" s="2">
        <v>2200</v>
      </c>
      <c r="H7" s="2" t="s">
        <v>12</v>
      </c>
    </row>
    <row r="8" spans="1:11" ht="42" customHeight="1" x14ac:dyDescent="0.35">
      <c r="A8" s="10">
        <v>45664</v>
      </c>
      <c r="B8" s="8" t="s">
        <v>53</v>
      </c>
      <c r="C8" s="8" t="s">
        <v>47</v>
      </c>
      <c r="D8" s="8" t="s">
        <v>46</v>
      </c>
      <c r="E8" s="2" t="s">
        <v>10</v>
      </c>
      <c r="F8" s="2" t="s">
        <v>17</v>
      </c>
      <c r="G8" s="2">
        <v>2800</v>
      </c>
      <c r="H8" s="2" t="s">
        <v>9</v>
      </c>
    </row>
    <row r="9" spans="1:11" ht="42" customHeight="1" x14ac:dyDescent="0.35">
      <c r="A9" s="10">
        <v>45665</v>
      </c>
      <c r="B9" s="8" t="s">
        <v>54</v>
      </c>
      <c r="C9" s="8" t="s">
        <v>47</v>
      </c>
      <c r="D9" s="8" t="s">
        <v>46</v>
      </c>
      <c r="E9" s="2" t="s">
        <v>4</v>
      </c>
      <c r="F9" s="2" t="s">
        <v>18</v>
      </c>
      <c r="G9" s="2">
        <v>150</v>
      </c>
      <c r="H9" s="2" t="s">
        <v>6</v>
      </c>
    </row>
    <row r="10" spans="1:11" ht="42" customHeight="1" x14ac:dyDescent="0.35">
      <c r="A10" s="10">
        <v>45666</v>
      </c>
      <c r="B10" s="8" t="s">
        <v>55</v>
      </c>
      <c r="C10" s="8" t="s">
        <v>47</v>
      </c>
      <c r="D10" s="8" t="s">
        <v>46</v>
      </c>
      <c r="E10" s="2" t="s">
        <v>19</v>
      </c>
      <c r="F10" s="2" t="s">
        <v>20</v>
      </c>
      <c r="G10" s="2">
        <v>299</v>
      </c>
      <c r="H10" s="2" t="s">
        <v>9</v>
      </c>
    </row>
    <row r="11" spans="1:11" ht="42" customHeight="1" x14ac:dyDescent="0.35">
      <c r="A11" s="10">
        <v>45667</v>
      </c>
      <c r="B11" s="8" t="s">
        <v>56</v>
      </c>
      <c r="C11" s="8" t="s">
        <v>47</v>
      </c>
      <c r="D11" s="8" t="s">
        <v>46</v>
      </c>
      <c r="E11" s="2" t="s">
        <v>7</v>
      </c>
      <c r="F11" s="2" t="s">
        <v>21</v>
      </c>
      <c r="G11" s="2">
        <v>1800</v>
      </c>
      <c r="H11" s="2" t="s">
        <v>12</v>
      </c>
    </row>
    <row r="12" spans="1:11" ht="42" customHeight="1" x14ac:dyDescent="0.35">
      <c r="A12" s="10">
        <v>45668</v>
      </c>
      <c r="B12" s="8" t="s">
        <v>57</v>
      </c>
      <c r="C12" s="8" t="s">
        <v>47</v>
      </c>
      <c r="D12" s="8" t="s">
        <v>46</v>
      </c>
      <c r="E12" s="2" t="s">
        <v>13</v>
      </c>
      <c r="F12" s="2" t="s">
        <v>22</v>
      </c>
      <c r="G12" s="2">
        <v>3500</v>
      </c>
      <c r="H12" s="2" t="s">
        <v>9</v>
      </c>
    </row>
    <row r="13" spans="1:11" ht="42" customHeight="1" x14ac:dyDescent="0.35">
      <c r="A13" s="10">
        <v>45669</v>
      </c>
      <c r="B13" s="8" t="s">
        <v>58</v>
      </c>
      <c r="C13" s="8" t="s">
        <v>47</v>
      </c>
      <c r="D13" s="8" t="s">
        <v>46</v>
      </c>
      <c r="E13" s="2" t="s">
        <v>10</v>
      </c>
      <c r="F13" s="2" t="s">
        <v>23</v>
      </c>
      <c r="G13" s="2">
        <v>2100</v>
      </c>
      <c r="H13" s="2" t="s">
        <v>12</v>
      </c>
    </row>
    <row r="14" spans="1:11" ht="42" customHeight="1" x14ac:dyDescent="0.35">
      <c r="A14" s="10">
        <v>45670</v>
      </c>
      <c r="B14" s="8" t="s">
        <v>59</v>
      </c>
      <c r="C14" s="8" t="s">
        <v>47</v>
      </c>
      <c r="D14" s="8" t="s">
        <v>46</v>
      </c>
      <c r="E14" s="2" t="s">
        <v>4</v>
      </c>
      <c r="F14" s="2" t="s">
        <v>24</v>
      </c>
      <c r="G14" s="2">
        <v>180</v>
      </c>
      <c r="H14" s="2" t="s">
        <v>6</v>
      </c>
    </row>
    <row r="15" spans="1:11" ht="42" customHeight="1" x14ac:dyDescent="0.35">
      <c r="A15" s="10">
        <v>45671</v>
      </c>
      <c r="B15" s="8" t="s">
        <v>60</v>
      </c>
      <c r="C15" s="8" t="s">
        <v>47</v>
      </c>
      <c r="D15" s="8" t="s">
        <v>46</v>
      </c>
      <c r="E15" s="2" t="s">
        <v>19</v>
      </c>
      <c r="F15" s="2" t="s">
        <v>25</v>
      </c>
      <c r="G15" s="2">
        <v>999</v>
      </c>
      <c r="H15" s="2" t="s">
        <v>9</v>
      </c>
    </row>
    <row r="16" spans="1:11" ht="42" customHeight="1" x14ac:dyDescent="0.35">
      <c r="A16" s="10">
        <v>45672</v>
      </c>
      <c r="B16" s="8" t="s">
        <v>61</v>
      </c>
      <c r="C16" s="8" t="s">
        <v>47</v>
      </c>
      <c r="D16" s="8" t="s">
        <v>46</v>
      </c>
      <c r="E16" s="2" t="s">
        <v>7</v>
      </c>
      <c r="F16" s="2" t="s">
        <v>26</v>
      </c>
      <c r="G16" s="2">
        <v>2500</v>
      </c>
      <c r="H16" s="2" t="s">
        <v>6</v>
      </c>
    </row>
    <row r="17" spans="1:8" ht="42" customHeight="1" x14ac:dyDescent="0.35">
      <c r="A17" s="10">
        <v>45673</v>
      </c>
      <c r="B17" s="8" t="s">
        <v>62</v>
      </c>
      <c r="C17" s="8" t="s">
        <v>47</v>
      </c>
      <c r="D17" s="8" t="s">
        <v>46</v>
      </c>
      <c r="E17" s="2" t="s">
        <v>4</v>
      </c>
      <c r="F17" s="2" t="s">
        <v>5</v>
      </c>
      <c r="G17" s="2">
        <v>300</v>
      </c>
      <c r="H17" s="2" t="s">
        <v>9</v>
      </c>
    </row>
    <row r="18" spans="1:8" ht="42" customHeight="1" x14ac:dyDescent="0.35">
      <c r="A18" s="10">
        <v>45674</v>
      </c>
      <c r="B18" s="8" t="s">
        <v>63</v>
      </c>
      <c r="C18" s="8" t="s">
        <v>47</v>
      </c>
      <c r="D18" s="8" t="s">
        <v>46</v>
      </c>
      <c r="E18" s="2" t="s">
        <v>10</v>
      </c>
      <c r="F18" s="2" t="s">
        <v>27</v>
      </c>
      <c r="G18" s="2">
        <v>1200</v>
      </c>
      <c r="H18" s="2" t="s">
        <v>12</v>
      </c>
    </row>
    <row r="19" spans="1:8" ht="42" customHeight="1" x14ac:dyDescent="0.35">
      <c r="A19" s="10">
        <v>45675</v>
      </c>
      <c r="B19" s="8" t="s">
        <v>64</v>
      </c>
      <c r="C19" s="8" t="s">
        <v>47</v>
      </c>
      <c r="D19" s="8" t="s">
        <v>46</v>
      </c>
      <c r="E19" s="2" t="s">
        <v>13</v>
      </c>
      <c r="F19" s="2" t="s">
        <v>28</v>
      </c>
      <c r="G19" s="2">
        <v>800</v>
      </c>
      <c r="H19" s="2" t="s">
        <v>6</v>
      </c>
    </row>
    <row r="20" spans="1:8" ht="42" customHeight="1" x14ac:dyDescent="0.35">
      <c r="A20" s="10">
        <v>45676</v>
      </c>
      <c r="B20" s="8" t="s">
        <v>65</v>
      </c>
      <c r="C20" s="8" t="s">
        <v>47</v>
      </c>
      <c r="D20" s="8" t="s">
        <v>46</v>
      </c>
      <c r="E20" s="2" t="s">
        <v>19</v>
      </c>
      <c r="F20" s="2" t="s">
        <v>29</v>
      </c>
      <c r="G20" s="2">
        <v>600</v>
      </c>
      <c r="H20" s="2" t="s">
        <v>6</v>
      </c>
    </row>
    <row r="21" spans="1:8" ht="42" customHeight="1" x14ac:dyDescent="0.35">
      <c r="A21" s="10">
        <v>45677</v>
      </c>
      <c r="B21" s="8" t="s">
        <v>66</v>
      </c>
      <c r="C21" s="8" t="s">
        <v>47</v>
      </c>
      <c r="D21" s="8" t="s">
        <v>46</v>
      </c>
      <c r="E21" s="2" t="s">
        <v>7</v>
      </c>
      <c r="F21" s="2" t="s">
        <v>30</v>
      </c>
      <c r="G21" s="2">
        <v>2300</v>
      </c>
      <c r="H21" s="2" t="s">
        <v>9</v>
      </c>
    </row>
  </sheetData>
  <phoneticPr fontId="4" type="noConversion"/>
  <conditionalFormatting sqref="G2:G21">
    <cfRule type="cellIs" dxfId="9" priority="1" operator="greaterThan">
      <formula>2000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B2BB-4FE8-4A8F-B944-9DB66406E5B8}">
  <dimension ref="A1:D7"/>
  <sheetViews>
    <sheetView workbookViewId="0">
      <selection activeCell="E6" sqref="E6"/>
    </sheetView>
  </sheetViews>
  <sheetFormatPr defaultRowHeight="14.5" x14ac:dyDescent="0.35"/>
  <cols>
    <col min="1" max="3" width="15.1796875" customWidth="1"/>
    <col min="4" max="4" width="10.08984375" customWidth="1"/>
  </cols>
  <sheetData>
    <row r="1" spans="1:4" ht="27.5" customHeight="1" x14ac:dyDescent="0.35">
      <c r="A1" t="s">
        <v>36</v>
      </c>
      <c r="B1" t="s">
        <v>37</v>
      </c>
      <c r="C1" t="s">
        <v>38</v>
      </c>
      <c r="D1" t="s">
        <v>41</v>
      </c>
    </row>
    <row r="2" spans="1:4" ht="27.5" customHeight="1" x14ac:dyDescent="0.35">
      <c r="A2">
        <v>3500</v>
      </c>
      <c r="B2">
        <v>1280</v>
      </c>
      <c r="C2">
        <f>A2-B2</f>
        <v>2220</v>
      </c>
    </row>
    <row r="3" spans="1:4" ht="27.5" customHeight="1" x14ac:dyDescent="0.35">
      <c r="A3">
        <v>40000</v>
      </c>
      <c r="B3">
        <v>10000</v>
      </c>
      <c r="C3">
        <f t="shared" ref="C3:C6" si="0">A3-B3</f>
        <v>30000</v>
      </c>
    </row>
    <row r="4" spans="1:4" ht="27.5" customHeight="1" x14ac:dyDescent="0.35">
      <c r="A4">
        <v>12000</v>
      </c>
      <c r="B4">
        <v>9300</v>
      </c>
      <c r="C4">
        <f t="shared" si="0"/>
        <v>2700</v>
      </c>
    </row>
    <row r="5" spans="1:4" ht="27.5" customHeight="1" x14ac:dyDescent="0.35">
      <c r="A5">
        <v>8000</v>
      </c>
      <c r="B5">
        <v>5300</v>
      </c>
      <c r="C5">
        <f t="shared" si="0"/>
        <v>2700</v>
      </c>
    </row>
    <row r="6" spans="1:4" ht="27.5" customHeight="1" x14ac:dyDescent="0.35">
      <c r="A6">
        <v>4000</v>
      </c>
      <c r="B6">
        <v>1898</v>
      </c>
      <c r="C6">
        <f t="shared" si="0"/>
        <v>2102</v>
      </c>
    </row>
    <row r="7" spans="1:4" ht="27.5" customHeight="1" x14ac:dyDescent="0.3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5AF6-6F9E-47F2-B51E-E27A37FFEB6D}">
  <dimension ref="A1"/>
  <sheetViews>
    <sheetView tabSelected="1" workbookViewId="0">
      <selection activeCell="R8" sqref="R8"/>
    </sheetView>
  </sheetViews>
  <sheetFormatPr defaultRowHeight="14.5" x14ac:dyDescent="0.35"/>
  <cols>
    <col min="1" max="1" width="8.7265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budget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Firdaush Jahan</dc:creator>
  <cp:lastModifiedBy>iddimi shriya</cp:lastModifiedBy>
  <dcterms:created xsi:type="dcterms:W3CDTF">2025-12-31T04:19:25Z</dcterms:created>
  <dcterms:modified xsi:type="dcterms:W3CDTF">2026-01-05T05:53:23Z</dcterms:modified>
</cp:coreProperties>
</file>